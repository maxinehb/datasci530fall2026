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wner\Desktop\OneDrive\Exam 5\pratice exams\BA_Exam_A01\"/>
    </mc:Choice>
  </mc:AlternateContent>
  <bookViews>
    <workbookView xWindow="0" yWindow="0" windowWidth="24000" windowHeight="9735" tabRatio="681"/>
  </bookViews>
  <sheets>
    <sheet name="Instructions" sheetId="3" r:id="rId1"/>
    <sheet name="Point Grid" sheetId="1" r:id="rId2"/>
    <sheet name="1" sheetId="2" r:id="rId3"/>
    <sheet name="2" sheetId="4" r:id="rId4"/>
    <sheet name="3" sheetId="5" r:id="rId5"/>
    <sheet name="4" sheetId="53" r:id="rId6"/>
    <sheet name="5" sheetId="52" r:id="rId7"/>
    <sheet name="6" sheetId="51" r:id="rId8"/>
    <sheet name="7" sheetId="50" r:id="rId9"/>
    <sheet name="8" sheetId="49" r:id="rId10"/>
    <sheet name="9" sheetId="42" r:id="rId11"/>
    <sheet name="10" sheetId="41" r:id="rId12"/>
    <sheet name="11" sheetId="40" r:id="rId13"/>
    <sheet name="12" sheetId="39" r:id="rId14"/>
    <sheet name="13" sheetId="38" r:id="rId15"/>
    <sheet name="14" sheetId="37" r:id="rId16"/>
    <sheet name="15" sheetId="36" r:id="rId17"/>
    <sheet name="16" sheetId="35" r:id="rId18"/>
    <sheet name="17" sheetId="54" r:id="rId19"/>
    <sheet name="18" sheetId="20" r:id="rId20"/>
    <sheet name="19" sheetId="21" r:id="rId21"/>
    <sheet name="20" sheetId="22" r:id="rId22"/>
    <sheet name="21" sheetId="23" r:id="rId23"/>
    <sheet name="22" sheetId="30" r:id="rId24"/>
    <sheet name="23" sheetId="29" r:id="rId25"/>
    <sheet name="24" sheetId="28" r:id="rId26"/>
    <sheet name="25" sheetId="27" r:id="rId27"/>
    <sheet name="26" sheetId="69" r:id="rId28"/>
    <sheet name="27" sheetId="68" r:id="rId29"/>
    <sheet name="28" sheetId="67" r:id="rId30"/>
    <sheet name="29" sheetId="66" r:id="rId31"/>
    <sheet name="30" sheetId="65" r:id="rId3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2" i="66" l="1"/>
  <c r="H14" i="66"/>
  <c r="B13" i="66"/>
  <c r="B12" i="66" s="1"/>
  <c r="K6" i="66"/>
  <c r="B11" i="66" l="1"/>
  <c r="H12" i="66"/>
  <c r="B20" i="66"/>
  <c r="H13" i="66"/>
  <c r="B21" i="66"/>
  <c r="B19" i="66"/>
  <c r="H11" i="66"/>
  <c r="H25" i="69"/>
  <c r="H26" i="69" s="1"/>
  <c r="H27" i="69" s="1"/>
  <c r="H28" i="69" s="1"/>
  <c r="B25" i="69"/>
  <c r="B26" i="69" s="1"/>
  <c r="B27" i="69" s="1"/>
  <c r="B28" i="69" s="1"/>
  <c r="B19" i="69"/>
  <c r="H18" i="69"/>
  <c r="H19" i="69" s="1"/>
  <c r="H20" i="69" s="1"/>
  <c r="H21" i="69" s="1"/>
  <c r="B20" i="69" l="1"/>
  <c r="B21" i="69" s="1"/>
  <c r="C12" i="23" l="1"/>
  <c r="D12" i="23" s="1"/>
  <c r="E12" i="23" s="1"/>
  <c r="B12" i="23"/>
  <c r="B13" i="23" s="1"/>
  <c r="B14" i="23" s="1"/>
  <c r="I6" i="23" s="1"/>
  <c r="D11" i="23"/>
  <c r="E11" i="23" s="1"/>
  <c r="F11" i="23" s="1"/>
  <c r="B43" i="22"/>
  <c r="B52" i="22" s="1"/>
  <c r="B35" i="22"/>
  <c r="D33" i="22"/>
  <c r="E33" i="22" s="1"/>
  <c r="F33" i="22" s="1"/>
  <c r="G33" i="22" s="1"/>
  <c r="H33" i="22" s="1"/>
  <c r="C13" i="23" l="1"/>
  <c r="B61" i="22"/>
  <c r="B36" i="22"/>
  <c r="B44" i="22"/>
  <c r="C14" i="23" l="1"/>
  <c r="D13" i="23"/>
  <c r="B45" i="22"/>
  <c r="B54" i="22" s="1"/>
  <c r="B63" i="22" s="1"/>
  <c r="B37" i="22"/>
  <c r="B53" i="22"/>
  <c r="B38" i="22" l="1"/>
  <c r="B46" i="22"/>
  <c r="B55" i="22" s="1"/>
  <c r="B64" i="22" s="1"/>
  <c r="B62" i="22"/>
  <c r="B39" i="22" l="1"/>
  <c r="B48" i="22" s="1"/>
  <c r="B57" i="22" s="1"/>
  <c r="B66" i="22" s="1"/>
  <c r="B47" i="22"/>
  <c r="B56" i="22" s="1"/>
  <c r="B65" i="22" s="1"/>
  <c r="A19" i="35" l="1"/>
  <c r="P23" i="1"/>
  <c r="E12" i="42" l="1"/>
  <c r="A7" i="51" l="1"/>
  <c r="A7" i="53"/>
  <c r="A7" i="5"/>
  <c r="A7" i="4"/>
  <c r="A11" i="65"/>
  <c r="A38" i="67"/>
  <c r="A26" i="67"/>
  <c r="A22" i="67"/>
  <c r="A23" i="68"/>
  <c r="A15" i="68"/>
  <c r="A11" i="68"/>
  <c r="A15" i="69"/>
  <c r="A11" i="69"/>
  <c r="A14" i="27"/>
  <c r="A15" i="28"/>
  <c r="A11" i="28"/>
  <c r="A15" i="29"/>
  <c r="A11" i="29"/>
  <c r="A15" i="30"/>
  <c r="A11" i="30"/>
  <c r="A25" i="23"/>
  <c r="A21" i="23"/>
  <c r="A27" i="22"/>
  <c r="A23" i="22"/>
  <c r="A19" i="22"/>
  <c r="A15" i="22"/>
  <c r="A11" i="22"/>
  <c r="A17" i="20"/>
  <c r="A15" i="54"/>
  <c r="A11" i="54"/>
  <c r="A15" i="35"/>
  <c r="A11" i="35"/>
  <c r="A30" i="38"/>
  <c r="A11" i="38"/>
  <c r="A15" i="39"/>
  <c r="A11" i="39"/>
  <c r="A15" i="40"/>
  <c r="A11" i="41"/>
  <c r="A11" i="42"/>
  <c r="A14" i="49"/>
  <c r="A15" i="50"/>
  <c r="A11" i="50"/>
  <c r="N37" i="1"/>
  <c r="M37" i="1"/>
  <c r="M36" i="1"/>
  <c r="P35" i="1"/>
  <c r="O35" i="1"/>
  <c r="N35" i="1"/>
  <c r="M35" i="1"/>
  <c r="P34" i="1"/>
  <c r="O34" i="1"/>
  <c r="N34" i="1"/>
  <c r="M34" i="1"/>
  <c r="O33" i="1"/>
  <c r="N33" i="1"/>
  <c r="M33" i="1"/>
  <c r="N32" i="1"/>
  <c r="M32" i="1"/>
  <c r="O31" i="1"/>
  <c r="N31" i="1"/>
  <c r="M31" i="1"/>
  <c r="O30" i="1"/>
  <c r="N30" i="1"/>
  <c r="M30" i="1"/>
  <c r="O29" i="1"/>
  <c r="N29" i="1"/>
  <c r="M29" i="1"/>
  <c r="O28" i="1"/>
  <c r="N28" i="1"/>
  <c r="M28" i="1"/>
  <c r="R27" i="1"/>
  <c r="Q27" i="1"/>
  <c r="P27" i="1"/>
  <c r="O27" i="1"/>
  <c r="N27" i="1"/>
  <c r="M27" i="1"/>
  <c r="M26" i="1"/>
  <c r="N25" i="1"/>
  <c r="M25" i="1"/>
  <c r="O24" i="1"/>
  <c r="N24" i="1"/>
  <c r="M24" i="1"/>
  <c r="O23" i="1"/>
  <c r="N23" i="1"/>
  <c r="M23" i="1"/>
  <c r="M22" i="1"/>
  <c r="M21" i="1"/>
  <c r="O20" i="1"/>
  <c r="N20" i="1"/>
  <c r="M20" i="1"/>
  <c r="O19" i="1"/>
  <c r="N19" i="1"/>
  <c r="M19" i="1"/>
  <c r="N18" i="1"/>
  <c r="M18" i="1"/>
  <c r="N17" i="1"/>
  <c r="M17" i="1"/>
  <c r="N16" i="1"/>
  <c r="M16" i="1"/>
  <c r="N15" i="1"/>
  <c r="M15" i="1"/>
  <c r="O14" i="1"/>
  <c r="N14" i="1"/>
  <c r="M14" i="1"/>
  <c r="M13" i="1"/>
  <c r="M12" i="1"/>
  <c r="M11" i="1"/>
  <c r="M10" i="1"/>
  <c r="M9" i="1"/>
  <c r="M8" i="1"/>
  <c r="A7" i="2" l="1"/>
  <c r="J36" i="1"/>
  <c r="J35" i="1"/>
  <c r="J37" i="1"/>
  <c r="J33" i="1"/>
  <c r="J34" i="1"/>
  <c r="A7" i="52" l="1"/>
  <c r="A7" i="50" l="1"/>
  <c r="A7" i="49" l="1"/>
  <c r="A7" i="42" l="1"/>
  <c r="A7" i="41" l="1"/>
  <c r="A7" i="40" l="1"/>
  <c r="A7" i="39" l="1"/>
  <c r="A7" i="38" l="1"/>
  <c r="A7" i="37" l="1"/>
  <c r="A7" i="36" l="1"/>
  <c r="A7" i="35" l="1"/>
  <c r="A7" i="54" l="1"/>
  <c r="M2" i="1" a="1"/>
  <c r="M2" i="1" s="1"/>
  <c r="P2" i="1" s="1"/>
  <c r="A7" i="20" l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8" i="1"/>
  <c r="A4" i="53" l="1"/>
  <c r="A4" i="50"/>
  <c r="A4" i="5"/>
  <c r="A4" i="51"/>
  <c r="A4" i="4"/>
  <c r="A4" i="52"/>
  <c r="A4" i="21"/>
  <c r="A4" i="20"/>
  <c r="A4" i="54"/>
  <c r="A4" i="35"/>
  <c r="A4" i="36"/>
  <c r="A4" i="37"/>
  <c r="A4" i="38"/>
  <c r="A4" i="39"/>
  <c r="A4" i="40"/>
  <c r="A4" i="41"/>
  <c r="A4" i="42"/>
  <c r="A4" i="49"/>
  <c r="A7" i="21"/>
  <c r="A7" i="22" l="1"/>
  <c r="B27" i="1"/>
  <c r="L26" i="1"/>
  <c r="L32" i="1"/>
  <c r="L31" i="1"/>
  <c r="L30" i="1"/>
  <c r="L29" i="1"/>
  <c r="L28" i="1"/>
  <c r="L27" i="1"/>
  <c r="J21" i="1"/>
  <c r="J15" i="1"/>
  <c r="J32" i="1"/>
  <c r="J11" i="1"/>
  <c r="J27" i="1"/>
  <c r="J31" i="1"/>
  <c r="J29" i="1"/>
  <c r="J18" i="1"/>
  <c r="J12" i="1"/>
  <c r="J19" i="1"/>
  <c r="J30" i="1"/>
  <c r="J20" i="1"/>
  <c r="J23" i="1"/>
  <c r="J24" i="1"/>
  <c r="J28" i="1"/>
  <c r="J22" i="1"/>
  <c r="J16" i="1"/>
  <c r="J9" i="1"/>
  <c r="J13" i="1"/>
  <c r="J10" i="1"/>
  <c r="J25" i="1"/>
  <c r="J26" i="1"/>
  <c r="J17" i="1"/>
  <c r="J14" i="1"/>
  <c r="A4" i="22" l="1"/>
  <c r="A7" i="23"/>
  <c r="B2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8" i="1"/>
  <c r="J8" i="1"/>
  <c r="A4" i="23" l="1"/>
  <c r="A7" i="30"/>
  <c r="B29" i="1"/>
  <c r="A4" i="30" s="1"/>
  <c r="A4" i="2"/>
  <c r="A7" i="29" l="1"/>
  <c r="B30" i="1"/>
  <c r="A4" i="29" l="1"/>
  <c r="A7" i="28"/>
  <c r="B31" i="1"/>
  <c r="A4" i="28" l="1"/>
  <c r="A7" i="27"/>
  <c r="B32" i="1"/>
  <c r="A4" i="27" l="1"/>
  <c r="A7" i="69"/>
  <c r="B33" i="1"/>
  <c r="A4" i="69" l="1"/>
  <c r="A7" i="68"/>
  <c r="B34" i="1"/>
  <c r="A4" i="68" l="1"/>
  <c r="A7" i="67"/>
  <c r="B35" i="1"/>
  <c r="A4" i="67" l="1"/>
  <c r="A7" i="66"/>
  <c r="B36" i="1"/>
  <c r="A4" i="66" l="1"/>
  <c r="A7" i="65"/>
  <c r="B37" i="1"/>
  <c r="A4" i="65" l="1"/>
  <c r="M3" i="1" l="1"/>
</calcChain>
</file>

<file path=xl/sharedStrings.xml><?xml version="1.0" encoding="utf-8"?>
<sst xmlns="http://schemas.openxmlformats.org/spreadsheetml/2006/main" count="745" uniqueCount="420">
  <si>
    <t>Question</t>
  </si>
  <si>
    <t>Sub-Part of Question</t>
  </si>
  <si>
    <t>(a)</t>
  </si>
  <si>
    <t>(b)</t>
  </si>
  <si>
    <t>(c)</t>
  </si>
  <si>
    <t>(d)</t>
  </si>
  <si>
    <t>(e)</t>
  </si>
  <si>
    <t>(f)</t>
  </si>
  <si>
    <t>(g)</t>
  </si>
  <si>
    <t>Total Point Value</t>
  </si>
  <si>
    <t>Status</t>
  </si>
  <si>
    <t>Your Score</t>
  </si>
  <si>
    <t>Incomplete</t>
  </si>
  <si>
    <t>Points</t>
  </si>
  <si>
    <t>Percentage:</t>
  </si>
  <si>
    <t>Instructions</t>
  </si>
  <si>
    <t>1.) Find a quiet place and allow yourself the full four hour exam period to practice. Treat this just as you would the real exam.</t>
  </si>
  <si>
    <t>3.) Answer each question either to the side or below the grey question area.</t>
  </si>
  <si>
    <t xml:space="preserve">       reflect your confidence in your answer. This way you'll know if you're on the money or your guesses were lucky.</t>
  </si>
  <si>
    <t>5.) Grade each question harshly. It's better to put in extra reviewing time now than find the examiners aren't as generous as you hoped.</t>
  </si>
  <si>
    <t>8.) Find the top five questions where you lost the most points. These are the topics you need to review the most intensely in the</t>
  </si>
  <si>
    <t xml:space="preserve">      next day or so.</t>
  </si>
  <si>
    <t>6.) Enter your estimated score for each sub-part of a question in the box beneath the sub-part point value. They look like:</t>
  </si>
  <si>
    <t>slay the beast</t>
  </si>
  <si>
    <t>Return to Point Grid</t>
  </si>
  <si>
    <t>Pts Achieved</t>
  </si>
  <si>
    <t>Pts Available</t>
  </si>
  <si>
    <t>F</t>
  </si>
  <si>
    <r>
      <t xml:space="preserve">2.) Use the question hyperlinks on the </t>
    </r>
    <r>
      <rPr>
        <b/>
        <sz val="11"/>
        <color theme="1"/>
        <rFont val="Calibri"/>
        <family val="2"/>
        <scheme val="minor"/>
      </rPr>
      <t>Point Grid</t>
    </r>
    <r>
      <rPr>
        <sz val="11"/>
        <color theme="1"/>
        <rFont val="Calibri"/>
        <family val="2"/>
        <scheme val="minor"/>
      </rPr>
      <t xml:space="preserve"> worksheet to navigate between questions in your preferred order.</t>
    </r>
  </si>
  <si>
    <r>
      <t xml:space="preserve">4.) Use cell </t>
    </r>
    <r>
      <rPr>
        <b/>
        <sz val="11"/>
        <color theme="1"/>
        <rFont val="Calibri"/>
        <family val="2"/>
        <scheme val="minor"/>
      </rPr>
      <t>B1</t>
    </r>
    <r>
      <rPr>
        <sz val="11"/>
        <color theme="1"/>
        <rFont val="Calibri"/>
        <family val="2"/>
        <scheme val="minor"/>
      </rPr>
      <t xml:space="preserve"> on each question worksheet to mark whether you finished the question or not. You should use this feature to</t>
    </r>
  </si>
  <si>
    <r>
      <t xml:space="preserve">       Use increments of </t>
    </r>
    <r>
      <rPr>
        <b/>
        <sz val="11"/>
        <color theme="1"/>
        <rFont val="Calibri"/>
        <family val="2"/>
        <scheme val="minor"/>
      </rPr>
      <t>0.25</t>
    </r>
    <r>
      <rPr>
        <sz val="11"/>
        <color theme="1"/>
        <rFont val="Calibri"/>
        <family val="2"/>
        <scheme val="minor"/>
      </rPr>
      <t xml:space="preserve"> when scoring; pay attention to the language used in the question and the point value. An "</t>
    </r>
    <r>
      <rPr>
        <i/>
        <sz val="11"/>
        <color theme="1"/>
        <rFont val="Calibri"/>
        <family val="2"/>
        <scheme val="minor"/>
      </rPr>
      <t>identify" question</t>
    </r>
  </si>
  <si>
    <r>
      <t xml:space="preserve">       is likely 0.25 per item while an "</t>
    </r>
    <r>
      <rPr>
        <i/>
        <sz val="11"/>
        <color theme="1"/>
        <rFont val="Calibri"/>
        <family val="2"/>
        <scheme val="minor"/>
      </rPr>
      <t>explain</t>
    </r>
    <r>
      <rPr>
        <sz val="11"/>
        <color theme="1"/>
        <rFont val="Calibri"/>
        <family val="2"/>
        <scheme val="minor"/>
      </rPr>
      <t>" or "</t>
    </r>
    <r>
      <rPr>
        <i/>
        <sz val="11"/>
        <color theme="1"/>
        <rFont val="Calibri"/>
        <family val="2"/>
        <scheme val="minor"/>
      </rPr>
      <t>briefly justify</t>
    </r>
    <r>
      <rPr>
        <sz val="11"/>
        <color theme="1"/>
        <rFont val="Calibri"/>
        <family val="2"/>
        <scheme val="minor"/>
      </rPr>
      <t>" gets 0.25 for the item and another 0.25 for the justification.</t>
    </r>
  </si>
  <si>
    <r>
      <t xml:space="preserve">7.) Return to the </t>
    </r>
    <r>
      <rPr>
        <b/>
        <sz val="11"/>
        <color theme="1"/>
        <rFont val="Calibri"/>
        <family val="2"/>
        <scheme val="minor"/>
      </rPr>
      <t>Point Grid</t>
    </r>
    <r>
      <rPr>
        <sz val="11"/>
        <color theme="1"/>
        <rFont val="Calibri"/>
        <family val="2"/>
        <scheme val="minor"/>
      </rPr>
      <t xml:space="preserve"> to see your score and a breakdown of where you scored well and where you didn't.</t>
    </r>
  </si>
  <si>
    <t>Answer:</t>
  </si>
  <si>
    <t>Exam 5 - Practice 01 - Answers</t>
  </si>
  <si>
    <t>Select the best answer to the following question.</t>
  </si>
  <si>
    <t xml:space="preserve">(B)    </t>
  </si>
  <si>
    <t xml:space="preserve">(A)    </t>
  </si>
  <si>
    <t xml:space="preserve">(C)    </t>
  </si>
  <si>
    <t xml:space="preserve">(D)    </t>
  </si>
  <si>
    <t>Enter your answer in the space provided.</t>
  </si>
  <si>
    <t>counts</t>
  </si>
  <si>
    <t>Exposures (X)</t>
  </si>
  <si>
    <t>Losses (L)</t>
  </si>
  <si>
    <t>Earned Premium (EP)</t>
  </si>
  <si>
    <t>Written Premium (WP)</t>
  </si>
  <si>
    <t>Loss Adjustment Expense (LAE)</t>
  </si>
  <si>
    <t>Comm, Other, TLF</t>
  </si>
  <si>
    <t>General Expense</t>
  </si>
  <si>
    <t># of policies renewed</t>
  </si>
  <si>
    <t># of potential renewals</t>
  </si>
  <si>
    <t># of accepted quotes</t>
  </si>
  <si>
    <t># of quotes</t>
  </si>
  <si>
    <t>Calculate the retention ratio.</t>
  </si>
  <si>
    <t>cumulative reported loss at time t1</t>
  </si>
  <si>
    <t>incremental reported loss from time t1 to time t2</t>
  </si>
  <si>
    <t>Calculate the cumulative reported loss at time t2.</t>
  </si>
  <si>
    <t>Calendar year aggregation is one way of aggregating loss data. Identify 3 other common ways</t>
  </si>
  <si>
    <t>of aggregating loss data.</t>
  </si>
  <si>
    <t>Identify 3 criteria that a good exposure base should satisfy.</t>
  </si>
  <si>
    <t>Calculate the following quantities:</t>
  </si>
  <si>
    <t>(i)</t>
  </si>
  <si>
    <t>(ii)</t>
  </si>
  <si>
    <t>Written exposures for calendar year 2023</t>
  </si>
  <si>
    <t>In-force exposures as of July 15, 2025</t>
  </si>
  <si>
    <t>EP for CY 2020</t>
  </si>
  <si>
    <t>EP for CY 2021</t>
  </si>
  <si>
    <t>rate change</t>
  </si>
  <si>
    <t>rate change date</t>
  </si>
  <si>
    <t>Identify 2 adjustments, other than bringing premiums to curent rate level, that may be required</t>
  </si>
  <si>
    <t>before using premium in a rate indication.</t>
  </si>
  <si>
    <t>Large individual losses, also called shock losses, happen infrequently but can cause instability in</t>
  </si>
  <si>
    <t>the ratemaking process. Identify 2 principles in determining a shock loss threshold.</t>
  </si>
  <si>
    <t>AY</t>
  </si>
  <si>
    <t>reported</t>
  </si>
  <si>
    <t>claims</t>
  </si>
  <si>
    <t>Total</t>
  </si>
  <si>
    <t>Reported</t>
  </si>
  <si>
    <t>Loss</t>
  </si>
  <si>
    <t># of Excess</t>
  </si>
  <si>
    <t>Claims</t>
  </si>
  <si>
    <t>Ground-up</t>
  </si>
  <si>
    <t>Excess Losses</t>
  </si>
  <si>
    <t>Given the following loss information, calculate the excess loss factor (excess ratio) for AY 2025.</t>
  </si>
  <si>
    <t>Large Loss Threshold:</t>
  </si>
  <si>
    <t>Calculate the average premium an insurer must charge to balance the Fundamental Insurance Equation.</t>
  </si>
  <si>
    <t>Identify and briefly describe the 4 categories of underwriting expenses relevant to performing a rate</t>
  </si>
  <si>
    <t>indication.</t>
  </si>
  <si>
    <t>loss</t>
  </si>
  <si>
    <t>LAE</t>
  </si>
  <si>
    <t>fixed U/W expense</t>
  </si>
  <si>
    <t>exposures</t>
  </si>
  <si>
    <t>variable expense provision</t>
  </si>
  <si>
    <t xml:space="preserve"> = V</t>
  </si>
  <si>
    <t>target profit percentage</t>
  </si>
  <si>
    <t xml:space="preserve"> = QT</t>
  </si>
  <si>
    <t>Calculate the indicated average rate level change.</t>
  </si>
  <si>
    <t>experience period on-level trended EP</t>
  </si>
  <si>
    <t>experience period trended &amp; developed Loss &amp; LAE</t>
  </si>
  <si>
    <t>experience period fixed expenses</t>
  </si>
  <si>
    <r>
      <t xml:space="preserve">The loss ratio method for calculating an indicated rate change requires </t>
    </r>
    <r>
      <rPr>
        <u/>
        <sz val="11"/>
        <rFont val="Calibri"/>
        <family val="2"/>
        <scheme val="minor"/>
      </rPr>
      <t>premium data</t>
    </r>
    <r>
      <rPr>
        <sz val="11"/>
        <rFont val="Calibri"/>
        <family val="2"/>
        <scheme val="minor"/>
      </rPr>
      <t xml:space="preserve"> and provides</t>
    </r>
  </si>
  <si>
    <r>
      <t xml:space="preserve">the indicated percentage rate </t>
    </r>
    <r>
      <rPr>
        <u/>
        <sz val="11"/>
        <rFont val="Calibri"/>
        <family val="2"/>
        <scheme val="minor"/>
      </rPr>
      <t>change</t>
    </r>
    <r>
      <rPr>
        <sz val="11"/>
        <rFont val="Calibri"/>
        <family val="2"/>
        <scheme val="minor"/>
      </rPr>
      <t xml:space="preserve">. What data does the pure premium method require, and what </t>
    </r>
  </si>
  <si>
    <t>output result does it provide?</t>
  </si>
  <si>
    <r>
      <t xml:space="preserve">Using the information shown further down, calculate the </t>
    </r>
    <r>
      <rPr>
        <b/>
        <sz val="11"/>
        <rFont val="Calibri"/>
        <family val="2"/>
        <scheme val="minor"/>
      </rPr>
      <t>developed and trended losses &amp; LAE by</t>
    </r>
  </si>
  <si>
    <r>
      <rPr>
        <b/>
        <sz val="11"/>
        <rFont val="Calibri"/>
        <family val="2"/>
        <scheme val="minor"/>
      </rPr>
      <t>accident year</t>
    </r>
    <r>
      <rPr>
        <sz val="11"/>
        <rFont val="Calibri"/>
        <family val="2"/>
        <scheme val="minor"/>
      </rPr>
      <t>.</t>
    </r>
  </si>
  <si>
    <r>
      <t>Using the information shown further down, calculate the i</t>
    </r>
    <r>
      <rPr>
        <b/>
        <sz val="11"/>
        <rFont val="Calibri"/>
        <family val="2"/>
        <scheme val="minor"/>
      </rPr>
      <t>ndicated rate</t>
    </r>
    <r>
      <rPr>
        <sz val="11"/>
        <rFont val="Calibri"/>
        <family val="2"/>
        <scheme val="minor"/>
      </rPr>
      <t>.</t>
    </r>
  </si>
  <si>
    <r>
      <t>Using the information shown further down, calculate the i</t>
    </r>
    <r>
      <rPr>
        <b/>
        <sz val="11"/>
        <rFont val="Calibri"/>
        <family val="2"/>
        <scheme val="minor"/>
      </rPr>
      <t>ndicated pure premium</t>
    </r>
    <r>
      <rPr>
        <sz val="11"/>
        <rFont val="Calibri"/>
        <family val="2"/>
        <scheme val="minor"/>
      </rPr>
      <t>.</t>
    </r>
  </si>
  <si>
    <t>Losses as of yr-end:</t>
  </si>
  <si>
    <t>LDFs (Loss &amp; LAE):</t>
  </si>
  <si>
    <t>Expenses / Profit:</t>
  </si>
  <si>
    <t>Earned</t>
  </si>
  <si>
    <t>CY / AY</t>
  </si>
  <si>
    <t>Loss &amp; LAE</t>
  </si>
  <si>
    <t>Exposures</t>
  </si>
  <si>
    <t>12-Ult</t>
  </si>
  <si>
    <t>Commission</t>
  </si>
  <si>
    <t>24-Ult</t>
  </si>
  <si>
    <t>Taxes</t>
  </si>
  <si>
    <t>36-Ult</t>
  </si>
  <si>
    <t>48-Ult</t>
  </si>
  <si>
    <t>Fixed Expense</t>
  </si>
  <si>
    <t>60-Ult</t>
  </si>
  <si>
    <t>Profit</t>
  </si>
  <si>
    <t>Trends are Exponential</t>
  </si>
  <si>
    <t>Other Information:</t>
  </si>
  <si>
    <t xml:space="preserve">   and other acquisition expenses.</t>
  </si>
  <si>
    <t>Frequency Trend</t>
  </si>
  <si>
    <t>Severity Trend</t>
  </si>
  <si>
    <t>effective date:</t>
  </si>
  <si>
    <t>rates in effect for</t>
  </si>
  <si>
    <t>months</t>
  </si>
  <si>
    <t>policy term:</t>
  </si>
  <si>
    <r>
      <t xml:space="preserve">Variable Expenses </t>
    </r>
    <r>
      <rPr>
        <b/>
        <vertAlign val="superscript"/>
        <sz val="11"/>
        <color rgb="FFFF0000"/>
        <rFont val="Calibri"/>
        <family val="2"/>
        <scheme val="minor"/>
      </rPr>
      <t>1</t>
    </r>
  </si>
  <si>
    <r>
      <rPr>
        <b/>
        <vertAlign val="superscript"/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Refers to variable portion of general</t>
    </r>
  </si>
  <si>
    <t>&lt;== (year, month, day)</t>
  </si>
  <si>
    <t>"Legal criteria" are ways of evaluating rating variables. For example, a rating variable must follow all</t>
  </si>
  <si>
    <t>appropriate laws and regulations. Identify 2 other criteria and provide a brief description of each.</t>
  </si>
  <si>
    <t>Homeowners</t>
  </si>
  <si>
    <t>Workers Compensation</t>
  </si>
  <si>
    <t>Commercial General Liability</t>
  </si>
  <si>
    <t>Medical Malpractice</t>
  </si>
  <si>
    <t>Commercial Auto</t>
  </si>
  <si>
    <t>Personal Auto</t>
  </si>
  <si>
    <t>Type of Insurance</t>
  </si>
  <si>
    <t>Rating Variables</t>
  </si>
  <si>
    <t>A</t>
  </si>
  <si>
    <t>B</t>
  </si>
  <si>
    <t>C</t>
  </si>
  <si>
    <t>D</t>
  </si>
  <si>
    <t>E</t>
  </si>
  <si>
    <t>Driver Age &amp; Gender, Model Year, Accident History</t>
  </si>
  <si>
    <t>Amount of Insurance, Age of Home, Construction Type</t>
  </si>
  <si>
    <t>Occupation Class Code</t>
  </si>
  <si>
    <t>Classification, Territory, Limit of Liability</t>
  </si>
  <si>
    <t>Specialty, Territory, Limit of Liability</t>
  </si>
  <si>
    <t>Driver Class, Territory, Limit of Liability</t>
  </si>
  <si>
    <t>Match each type of insurance listed below with the rating variable list that best goes with each. For</t>
  </si>
  <si>
    <t>example, "Commercial Auto" corresponds to "Driver Class, Territory, Limit of Liability" so you would</t>
  </si>
  <si>
    <t>answer "6-B".</t>
  </si>
  <si>
    <t>Propose rating factors for the given rating variable relative to the base class:</t>
  </si>
  <si>
    <t>level</t>
  </si>
  <si>
    <t>of</t>
  </si>
  <si>
    <t>variable</t>
  </si>
  <si>
    <t>EE</t>
  </si>
  <si>
    <t>L + ALAE</t>
  </si>
  <si>
    <t>pure</t>
  </si>
  <si>
    <t>premium</t>
  </si>
  <si>
    <t>data from a generalized linear model:</t>
  </si>
  <si>
    <t xml:space="preserve">An insurer is considering using credit score to further segment its homeowners book of business. </t>
  </si>
  <si>
    <t>The insurer has developed a generalized linear model to evaluate different variables’ contribution to</t>
  </si>
  <si>
    <t>expected frequency of wind claims.</t>
  </si>
  <si>
    <r>
      <t xml:space="preserve">The </t>
    </r>
    <r>
      <rPr>
        <b/>
        <sz val="11"/>
        <rFont val="Calibri"/>
        <family val="2"/>
        <scheme val="minor"/>
      </rPr>
      <t>first diagnostic chart</t>
    </r>
    <r>
      <rPr>
        <sz val="11"/>
        <rFont val="Calibri"/>
        <family val="2"/>
        <scheme val="minor"/>
      </rPr>
      <t xml:space="preserve"> displays the results of a countrywide analysis performed on </t>
    </r>
    <r>
      <rPr>
        <u/>
        <sz val="11"/>
        <rFont val="Calibri"/>
        <family val="2"/>
        <scheme val="minor"/>
      </rPr>
      <t>1 year</t>
    </r>
    <r>
      <rPr>
        <sz val="11"/>
        <rFont val="Calibri"/>
        <family val="2"/>
        <scheme val="minor"/>
      </rPr>
      <t xml:space="preserve"> of</t>
    </r>
  </si>
  <si>
    <r>
      <t xml:space="preserve">The </t>
    </r>
    <r>
      <rPr>
        <b/>
        <sz val="11"/>
        <rFont val="Calibri"/>
        <family val="2"/>
        <scheme val="minor"/>
      </rPr>
      <t>second diagnostic chart</t>
    </r>
    <r>
      <rPr>
        <sz val="11"/>
        <rFont val="Calibri"/>
        <family val="2"/>
        <scheme val="minor"/>
      </rPr>
      <t xml:space="preserve"> displays the results of a countrywide analysis performed on </t>
    </r>
    <r>
      <rPr>
        <u/>
        <sz val="11"/>
        <rFont val="Calibri"/>
        <family val="2"/>
        <scheme val="minor"/>
      </rPr>
      <t>5 years</t>
    </r>
    <r>
      <rPr>
        <sz val="11"/>
        <rFont val="Calibri"/>
        <family val="2"/>
        <scheme val="minor"/>
      </rPr>
      <t xml:space="preserve"> of</t>
    </r>
  </si>
  <si>
    <t xml:space="preserve">data from a generalized linear model. (The year of the 5 years of data incorporate the same 1 year of </t>
  </si>
  <si>
    <t>data used for the original multivaraite analysis.)</t>
  </si>
  <si>
    <r>
      <t xml:space="preserve">Based on the first chart, the actuarial department recommended that credit score </t>
    </r>
    <r>
      <rPr>
        <u/>
        <sz val="11"/>
        <color theme="1"/>
        <rFont val="Calibri"/>
        <family val="2"/>
        <scheme val="minor"/>
      </rPr>
      <t>should not</t>
    </r>
    <r>
      <rPr>
        <sz val="11"/>
        <color theme="1"/>
        <rFont val="Calibri"/>
        <family val="2"/>
        <scheme val="minor"/>
      </rPr>
      <t xml:space="preserve"> be used as a rating</t>
    </r>
  </si>
  <si>
    <t>variable. Based on the second analysis 4 years later however, the actuarial department changed their</t>
  </si>
  <si>
    <r>
      <t xml:space="preserve">recommendation and now advise that credit score </t>
    </r>
    <r>
      <rPr>
        <u/>
        <sz val="11"/>
        <color theme="1"/>
        <rFont val="Calibri"/>
        <family val="2"/>
        <scheme val="minor"/>
      </rPr>
      <t>should</t>
    </r>
    <r>
      <rPr>
        <sz val="11"/>
        <color theme="1"/>
        <rFont val="Calibri"/>
        <family val="2"/>
        <scheme val="minor"/>
      </rPr>
      <t xml:space="preserve"> be used as a rating variable.</t>
    </r>
  </si>
  <si>
    <t>Identify and briefly describe 2 reasons for the actuarial's departement change in recommendation.</t>
  </si>
  <si>
    <t>First analysis using 1 year of data:</t>
  </si>
  <si>
    <t xml:space="preserve">1.0 </t>
  </si>
  <si>
    <t>Frequency</t>
  </si>
  <si>
    <t xml:space="preserve">0.5 </t>
  </si>
  <si>
    <t>x</t>
  </si>
  <si>
    <t xml:space="preserve">0.0 </t>
  </si>
  <si>
    <t>Good</t>
  </si>
  <si>
    <t>Fair</t>
  </si>
  <si>
    <t>Poor</t>
  </si>
  <si>
    <t>CREDIT SCORE</t>
  </si>
  <si>
    <t>(Exposures)</t>
  </si>
  <si>
    <t>(Indicated Relativity)</t>
  </si>
  <si>
    <t>(+/- 2 Standard Errors)</t>
  </si>
  <si>
    <t>Second analysis using 5 years of data:</t>
  </si>
  <si>
    <t>*</t>
  </si>
  <si>
    <t>Basic policy limit:</t>
  </si>
  <si>
    <t>loss range</t>
  </si>
  <si>
    <t>lower</t>
  </si>
  <si>
    <t>upper</t>
  </si>
  <si>
    <t>limit</t>
  </si>
  <si>
    <t>Calculate the increased limits factors for a a limit of:</t>
  </si>
  <si>
    <t>at</t>
  </si>
  <si>
    <t>Define the term "Insurance-to-Value" as given in the Werner and Modlin text.</t>
  </si>
  <si>
    <t>The Werner &amp; Modlin source text discusses different way insurers can encourage customers to properly</t>
  </si>
  <si>
    <t>insure their properties. In other words, to buy a policy with a face value equal to the value of the</t>
  </si>
  <si>
    <t>properly. The source text calls these ITV-initiatives. Identify and briefly describe 3 of these initiatives.</t>
  </si>
  <si>
    <t>Briefly explain the concept of a "coninsurance penalty".</t>
  </si>
  <si>
    <t>Calculate the rate per $1,000 of coverage.</t>
  </si>
  <si>
    <t>value of home</t>
  </si>
  <si>
    <t>AOI</t>
  </si>
  <si>
    <t>frequency of loss</t>
  </si>
  <si>
    <t>The severity of loss is uniformly distributed between 0 and the value of the home.</t>
  </si>
  <si>
    <t>severity</t>
  </si>
  <si>
    <t>State the Fundamental Insurance Equation.</t>
  </si>
  <si>
    <t>Identify and briefly describe 3 distinct non-pricing solutions for rebalancing the Fundamental</t>
  </si>
  <si>
    <t>Insurance Equation.</t>
  </si>
  <si>
    <t>Calculate the fixed expense ratio:</t>
  </si>
  <si>
    <t>countrywide premium ($000s)</t>
  </si>
  <si>
    <t>profit provision</t>
  </si>
  <si>
    <t>average loss cost</t>
  </si>
  <si>
    <t>expense</t>
  </si>
  <si>
    <t>countrywide</t>
  </si>
  <si>
    <t>category</t>
  </si>
  <si>
    <t>expenses ($000s)</t>
  </si>
  <si>
    <t>%-fixed</t>
  </si>
  <si>
    <t>commissions</t>
  </si>
  <si>
    <t>general expenses</t>
  </si>
  <si>
    <t>other acquisition</t>
  </si>
  <si>
    <t>taxes</t>
  </si>
  <si>
    <t>licenses &amp; fees</t>
  </si>
  <si>
    <t>TOTAL</t>
  </si>
  <si>
    <t>Given the following information for a retrospectively rated worker's compensation policy, calculate the</t>
  </si>
  <si>
    <t>final retrospective premium.</t>
  </si>
  <si>
    <t>Maximum retrospective premium ratio</t>
  </si>
  <si>
    <t>Minimum retrospective premium ratio</t>
  </si>
  <si>
    <t>Tax multiplier</t>
  </si>
  <si>
    <t>Converted losses</t>
  </si>
  <si>
    <t>Basic premium</t>
  </si>
  <si>
    <t>Standard premium</t>
  </si>
  <si>
    <t>One of the following statements applies to large deductible policies and the other to small</t>
  </si>
  <si>
    <t>deductible policies. Which is which?</t>
  </si>
  <si>
    <t>policies where the insured bears a significant portion of the risk</t>
  </si>
  <si>
    <t>policies that eliminate costs to the insurer for handling nuisance claims</t>
  </si>
  <si>
    <t>Which category of expenses directly relates to investigating and settling insurance claims?</t>
  </si>
  <si>
    <t>Loss Adjustment Expenses</t>
  </si>
  <si>
    <t>Underwriting Expenses</t>
  </si>
  <si>
    <t>Taxes, Licenses, and Fees</t>
  </si>
  <si>
    <t>Administrative Costs</t>
  </si>
  <si>
    <t>What is the primary reason that ratemaking is considered prospective in property and casualty insurance?</t>
  </si>
  <si>
    <t>It is calculated after the transfer of risk.</t>
  </si>
  <si>
    <t>It focuses only on past incidents.</t>
  </si>
  <si>
    <t>It must be developed prior to the transfer of risk.</t>
  </si>
  <si>
    <t>It is based on arbitrary numbers.</t>
  </si>
  <si>
    <t>What is an unpaid claims estimate or reserve in insurance?</t>
  </si>
  <si>
    <t>The total income received from policyholders.</t>
  </si>
  <si>
    <t>The insurer's estimate for future administrative costs.</t>
  </si>
  <si>
    <t>The total value of assets held by the insurer.</t>
  </si>
  <si>
    <t>The actuary’s estimate of the obligation for future payment resulting from claims</t>
  </si>
  <si>
    <t>due to past events.</t>
  </si>
  <si>
    <t>For whom are accurate reserve estimates important, and why is accuracy crucial ?</t>
  </si>
  <si>
    <t>Policyholders - for getting lower premiums.</t>
  </si>
  <si>
    <t>Internal management - for proper decision-making like pricing and strategic plans.</t>
  </si>
  <si>
    <t>Competitors - to understand market trends.</t>
  </si>
  <si>
    <t>Government - for tax purposes.</t>
  </si>
  <si>
    <t>(iii)</t>
  </si>
  <si>
    <t>management</t>
  </si>
  <si>
    <t>investors</t>
  </si>
  <si>
    <t>regulators</t>
  </si>
  <si>
    <t>How can a redundant claim estimate impact:</t>
  </si>
  <si>
    <t>Given the triangles shown further down, compute the following quantities:</t>
  </si>
  <si>
    <t>cumulative paid loss for AY</t>
  </si>
  <si>
    <t>@</t>
  </si>
  <si>
    <t>incremental paid loss for AY</t>
  </si>
  <si>
    <t>incremental reported loss for AY</t>
  </si>
  <si>
    <t>Amounts</t>
  </si>
  <si>
    <t>Paid Loss</t>
  </si>
  <si>
    <t>Development Age</t>
  </si>
  <si>
    <t>O/S Loss</t>
  </si>
  <si>
    <t xml:space="preserve"> &lt;==</t>
  </si>
  <si>
    <t>same as Case O/S</t>
  </si>
  <si>
    <t>Paid Count</t>
  </si>
  <si>
    <t>O/S Count</t>
  </si>
  <si>
    <t>Here is the triangle information:</t>
  </si>
  <si>
    <t>CY</t>
  </si>
  <si>
    <t>cumulative reported loss for AY</t>
  </si>
  <si>
    <t>cumulative reported count for AY</t>
  </si>
  <si>
    <t>total paid loss for CY</t>
  </si>
  <si>
    <t>cumulative paid claims</t>
  </si>
  <si>
    <t>Assume no development past 48 months. In other words, the triangle is fully dveloped by 48 months.</t>
  </si>
  <si>
    <r>
      <t xml:space="preserve">The paid claims on the latest diagonal are in </t>
    </r>
    <r>
      <rPr>
        <i/>
        <sz val="11"/>
        <color theme="5" tint="-0.249977111117893"/>
        <rFont val="Calibri"/>
        <family val="2"/>
        <scheme val="minor"/>
      </rPr>
      <t>brown font</t>
    </r>
    <r>
      <rPr>
        <i/>
        <sz val="11"/>
        <color theme="1"/>
        <rFont val="Calibri"/>
        <family val="2"/>
        <scheme val="minor"/>
      </rPr>
      <t xml:space="preserve"> for instructional purposes within the solution.</t>
    </r>
  </si>
  <si>
    <t>&lt;======</t>
  </si>
  <si>
    <t>ultimate</t>
  </si>
  <si>
    <t>Calculate ultimate claims for all accident years using data as of year-end:</t>
  </si>
  <si>
    <t>Identify the key assumption underlying the development method for estimating unpaid claims estimates.</t>
  </si>
  <si>
    <t>Triangle 1</t>
  </si>
  <si>
    <t>Triangle 2</t>
  </si>
  <si>
    <t>Triangle 3</t>
  </si>
  <si>
    <t>Triangle 4</t>
  </si>
  <si>
    <r>
      <t xml:space="preserve">Identify whether each of the following triangles either </t>
    </r>
    <r>
      <rPr>
        <b/>
        <sz val="11"/>
        <color rgb="FF00B050"/>
        <rFont val="Calibri"/>
        <family val="2"/>
        <scheme val="minor"/>
      </rPr>
      <t>satisfy</t>
    </r>
    <r>
      <rPr>
        <sz val="11"/>
        <rFont val="Calibri"/>
        <family val="2"/>
        <scheme val="minor"/>
      </rPr>
      <t xml:space="preserve"> or </t>
    </r>
    <r>
      <rPr>
        <b/>
        <sz val="11"/>
        <color rgb="FFFF0000"/>
        <rFont val="Calibri"/>
        <family val="2"/>
        <scheme val="minor"/>
      </rPr>
      <t>don't satisfy</t>
    </r>
    <r>
      <rPr>
        <sz val="11"/>
        <rFont val="Calibri"/>
        <family val="2"/>
        <scheme val="minor"/>
      </rPr>
      <t xml:space="preserve"> the key assumption of the development method.</t>
    </r>
  </si>
  <si>
    <t>Identify the key assumption of the Bornhuetter-Ferguson method for estimating unpaid claims.</t>
  </si>
  <si>
    <t>Identify 2 situations where the key assumption of the Bornhuetter-Ferguson method is likely to be</t>
  </si>
  <si>
    <t>satisfied.</t>
  </si>
  <si>
    <t>EP</t>
  </si>
  <si>
    <t xml:space="preserve">Calculate the </t>
  </si>
  <si>
    <t>for AY</t>
  </si>
  <si>
    <t>using the Bornhuetter-Ferguson method.</t>
  </si>
  <si>
    <t>All data is as of Dec 31, 2025</t>
  </si>
  <si>
    <t xml:space="preserve">paid loss @ </t>
  </si>
  <si>
    <t>12 mths</t>
  </si>
  <si>
    <t xml:space="preserve">reported loss @ </t>
  </si>
  <si>
    <t>EP for CY</t>
  </si>
  <si>
    <t>12-ult</t>
  </si>
  <si>
    <t>ECR for AY</t>
  </si>
  <si>
    <t>24 mths</t>
  </si>
  <si>
    <t>24-ult</t>
  </si>
  <si>
    <t>unpaid</t>
  </si>
  <si>
    <t>paid</t>
  </si>
  <si>
    <t xml:space="preserve">paid CDF for </t>
  </si>
  <si>
    <t>The Cape Cod method for estimating unpaid claims has the same key assumption as the</t>
  </si>
  <si>
    <r>
      <t xml:space="preserve">Bornhuetter-Ferguson method. Briefly explain the </t>
    </r>
    <r>
      <rPr>
        <u/>
        <sz val="11"/>
        <rFont val="Calibri"/>
        <family val="2"/>
        <scheme val="minor"/>
      </rPr>
      <t>key difference</t>
    </r>
    <r>
      <rPr>
        <sz val="11"/>
        <rFont val="Calibri"/>
        <family val="2"/>
        <scheme val="minor"/>
      </rPr>
      <t xml:space="preserve"> between these 2 methods.</t>
    </r>
  </si>
  <si>
    <t>Identify and briefly explain 1 advantage and 1 disadvantage of the Cape Cod method.</t>
  </si>
  <si>
    <t>rptd clms</t>
  </si>
  <si>
    <t>using the reported Cape Cod method.</t>
  </si>
  <si>
    <t>CDF</t>
  </si>
  <si>
    <t>trend</t>
  </si>
  <si>
    <t>* no rate level adjustments</t>
  </si>
  <si>
    <t>* no premium trend</t>
  </si>
  <si>
    <t>Identify and briefly describe 2 key assumptions of frequency-severity methods for estimating</t>
  </si>
  <si>
    <t>unpaid claims estimates.</t>
  </si>
  <si>
    <t>payroll (000s)</t>
  </si>
  <si>
    <t>claims (000s)</t>
  </si>
  <si>
    <t>?</t>
  </si>
  <si>
    <t>exposure</t>
  </si>
  <si>
    <t>count</t>
  </si>
  <si>
    <t>Calculate the ultimate for AY 2025 using trended frequency and the given severity.</t>
  </si>
  <si>
    <r>
      <t xml:space="preserve">    AY 2025 ultimate trended </t>
    </r>
    <r>
      <rPr>
        <b/>
        <sz val="11"/>
        <color rgb="FFA52A2A"/>
        <rFont val="Calibri"/>
        <family val="2"/>
        <scheme val="minor"/>
      </rPr>
      <t xml:space="preserve">severity </t>
    </r>
    <r>
      <rPr>
        <b/>
        <sz val="11"/>
        <rFont val="Calibri"/>
        <family val="2"/>
        <scheme val="minor"/>
      </rPr>
      <t>==&gt;</t>
    </r>
  </si>
  <si>
    <r>
      <t>1</t>
    </r>
    <r>
      <rPr>
        <sz val="12"/>
        <color rgb="FF333333"/>
        <rFont val="Calibri"/>
        <family val="2"/>
        <scheme val="minor"/>
      </rPr>
      <t> </t>
    </r>
    <r>
      <rPr>
        <i/>
        <sz val="12"/>
        <color rgb="FF333333"/>
        <rFont val="Calibri"/>
        <family val="2"/>
        <scheme val="minor"/>
      </rPr>
      <t>Use a simple weighted average for trend selections.</t>
    </r>
  </si>
  <si>
    <r>
      <t>2</t>
    </r>
    <r>
      <rPr>
        <sz val="12"/>
        <color rgb="FF333333"/>
        <rFont val="Calibri"/>
        <family val="2"/>
        <scheme val="minor"/>
      </rPr>
      <t> </t>
    </r>
    <r>
      <rPr>
        <i/>
        <sz val="12"/>
        <color rgb="FF333333"/>
        <rFont val="Calibri"/>
        <family val="2"/>
        <scheme val="minor"/>
      </rPr>
      <t>Data is as of Dec 31, 2025.</t>
    </r>
  </si>
  <si>
    <t>Identify 1 advantage and 1 disadvantage of frequency-severity methods.</t>
  </si>
  <si>
    <t>Calculate the unpaid claim estimate for this self-insured entity for AY</t>
  </si>
  <si>
    <t>- ultimate</t>
  </si>
  <si>
    <t>Information as of Dec 31, 2025:</t>
  </si>
  <si>
    <t xml:space="preserve">case O/S for AY  </t>
  </si>
  <si>
    <t>company data</t>
  </si>
  <si>
    <t>industry data</t>
  </si>
  <si>
    <t xml:space="preserve"> CDF</t>
  </si>
  <si>
    <t>The Friedland reserving text discusses 2 methods referred to as "Case Outstanding" methods. One of</t>
  </si>
  <si>
    <t>them is sometimes referred to as the "Development Method". The other case outstanding method</t>
  </si>
  <si>
    <t>is a formula that uses industry data to project a company's case outstanding amount assuming no</t>
  </si>
  <si>
    <t>other company data is available.</t>
  </si>
  <si>
    <t>Identify 2 specific situations where this "other" case outstanding method may be used.</t>
  </si>
  <si>
    <t>Identify the purpose of the Berquist-Sherman reported method.</t>
  </si>
  <si>
    <t>Identify the purpose of the Berquist-Sherman paid method.</t>
  </si>
  <si>
    <r>
      <t xml:space="preserve">Use the </t>
    </r>
    <r>
      <rPr>
        <u/>
        <sz val="11"/>
        <color theme="1"/>
        <rFont val="Calibri"/>
        <family val="2"/>
        <scheme val="minor"/>
      </rPr>
      <t>reported</t>
    </r>
    <r>
      <rPr>
        <sz val="11"/>
        <color theme="1"/>
        <rFont val="Calibri"/>
        <family val="2"/>
        <scheme val="minor"/>
      </rPr>
      <t xml:space="preserve"> Berquist-Sherman method to calculate the</t>
    </r>
  </si>
  <si>
    <r>
      <t xml:space="preserve">Cumulative Paid </t>
    </r>
    <r>
      <rPr>
        <u/>
        <sz val="11"/>
        <color theme="1"/>
        <rFont val="Calibri"/>
        <family val="2"/>
        <scheme val="minor"/>
      </rPr>
      <t>Loss</t>
    </r>
    <r>
      <rPr>
        <sz val="11"/>
        <color theme="1"/>
        <rFont val="Calibri"/>
        <family val="2"/>
        <scheme val="minor"/>
      </rPr>
      <t xml:space="preserve"> ($000s)  </t>
    </r>
    <r>
      <rPr>
        <b/>
        <sz val="11"/>
        <color rgb="FFFF0000"/>
        <rFont val="Calibri"/>
        <family val="2"/>
        <scheme val="minor"/>
      </rPr>
      <t>(CPL)</t>
    </r>
  </si>
  <si>
    <r>
      <t xml:space="preserve">Cumulative Reported </t>
    </r>
    <r>
      <rPr>
        <u/>
        <sz val="11"/>
        <color theme="1"/>
        <rFont val="Calibri"/>
        <family val="2"/>
        <scheme val="minor"/>
      </rPr>
      <t>Loss</t>
    </r>
    <r>
      <rPr>
        <sz val="11"/>
        <color theme="1"/>
        <rFont val="Calibri"/>
        <family val="2"/>
        <scheme val="minor"/>
      </rPr>
      <t xml:space="preserve"> ($000s)  </t>
    </r>
    <r>
      <rPr>
        <b/>
        <sz val="11"/>
        <color rgb="FFFF0000"/>
        <rFont val="Calibri"/>
        <family val="2"/>
        <scheme val="minor"/>
      </rPr>
      <t>(CRL)</t>
    </r>
  </si>
  <si>
    <r>
      <t xml:space="preserve">Cumulative Paid </t>
    </r>
    <r>
      <rPr>
        <u/>
        <sz val="11"/>
        <color theme="1"/>
        <rFont val="Calibri"/>
        <family val="2"/>
        <scheme val="minor"/>
      </rPr>
      <t>Counts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(CPC)</t>
    </r>
  </si>
  <si>
    <r>
      <t xml:space="preserve">Cumulative Reported </t>
    </r>
    <r>
      <rPr>
        <u/>
        <sz val="11"/>
        <color theme="1"/>
        <rFont val="Calibri"/>
        <family val="2"/>
        <scheme val="minor"/>
      </rPr>
      <t>Counts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(CRC)</t>
    </r>
  </si>
  <si>
    <t>annual severity trend</t>
  </si>
  <si>
    <t>Hints:</t>
  </si>
  <si>
    <r>
      <rPr>
        <b/>
        <sz val="11"/>
        <color rgb="FF7030A0"/>
        <rFont val="Calibri"/>
        <family val="2"/>
        <scheme val="minor"/>
      </rPr>
      <t>RESTATED</t>
    </r>
    <r>
      <rPr>
        <sz val="11"/>
        <color theme="1"/>
        <rFont val="Calibri"/>
        <family val="2"/>
        <scheme val="minor"/>
      </rPr>
      <t xml:space="preserve"> Average Case O/S  (ACOS)</t>
    </r>
  </si>
  <si>
    <r>
      <rPr>
        <b/>
        <sz val="11"/>
        <color rgb="FFFF0000"/>
        <rFont val="Calibri"/>
        <family val="2"/>
        <scheme val="minor"/>
      </rPr>
      <t>ORIGINAL</t>
    </r>
    <r>
      <rPr>
        <sz val="11"/>
        <color theme="1"/>
        <rFont val="Calibri"/>
        <family val="2"/>
        <scheme val="minor"/>
      </rPr>
      <t xml:space="preserve"> Average Case O/S  ($000s) (ACOS)</t>
    </r>
  </si>
  <si>
    <t xml:space="preserve"> (You don't have to work everything out from scratch. Use the restated Average Case O/S shown below.)</t>
  </si>
  <si>
    <t>Alice the actuary drove her ATV (All-Terrian Vehicle) into a pond. It sunk to the bottom and was a total</t>
  </si>
  <si>
    <t>loss. Alice subsequently submitted a claim and her insurer paid her $3,500. The insurer then recovered</t>
  </si>
  <si>
    <t>If an insurer has a gross loss of $500,000 but also has a reinsurance treaty with a quota-share</t>
  </si>
  <si>
    <t>the ATV and sold it for scrap, receiving $600. What was the insurer's net loss?</t>
  </si>
  <si>
    <t>percentage of 75% then what is the primary insurer's net loss, according to the Friedland text?</t>
  </si>
  <si>
    <t>An insurer has 2 losses as shown below:</t>
  </si>
  <si>
    <t>loss 1</t>
  </si>
  <si>
    <t>loss 2</t>
  </si>
  <si>
    <t>losses then what is the primary insurer's reimbursement from the reinsurer?</t>
  </si>
  <si>
    <r>
      <t xml:space="preserve">If the insurer has an excess-of-loss reinsurance treaty with an attachment point of 500 for </t>
    </r>
    <r>
      <rPr>
        <u/>
        <sz val="11"/>
        <rFont val="Calibri"/>
        <family val="2"/>
        <scheme val="minor"/>
      </rPr>
      <t>individual</t>
    </r>
  </si>
  <si>
    <t>the primary insurer's reimbursement from the reinsurer?</t>
  </si>
  <si>
    <t>Using the data from part (c), but assuming the attachment point applies to aggregate losses, what is</t>
  </si>
  <si>
    <t>Paid</t>
  </si>
  <si>
    <t>Development</t>
  </si>
  <si>
    <t>Berquist-Sherman</t>
  </si>
  <si>
    <t>Suppose you get to the end of your reserve analysis as of Dec 31, 2025 and have estimates of ultimates</t>
  </si>
  <si>
    <t>from several different methods:</t>
  </si>
  <si>
    <t>while the Reported Development method shows an increase starting from AY 2023?</t>
  </si>
  <si>
    <t>Why might the Paid Development and Berquist-Sherman methods show consistent estimates across all Accident Years (AYs),</t>
  </si>
  <si>
    <t>Referring to part (a), what are the implications to a reserve analyst regarding the accuracy of the LDFs in the reported development method.</t>
  </si>
  <si>
    <t>Assume the selected LDFs are an arithmetic average of the values in each column of the LDF triangle.</t>
  </si>
  <si>
    <t>Given the following information for an insurer as of Dec 31, 2023:</t>
  </si>
  <si>
    <t>Company management strengthened case reserves on all open claims during 2016.</t>
  </si>
  <si>
    <t>Six unusually large claims that occurred in 2022 have been and closed, and there are no other large losses in the insurer's</t>
  </si>
  <si>
    <t>history</t>
  </si>
  <si>
    <t>No adjustments were made to historical claims development factors.</t>
  </si>
  <si>
    <t>Briefly assess the appropriateness of each reserving method for AY 2020.</t>
  </si>
  <si>
    <t>Paid development method</t>
  </si>
  <si>
    <t>Reported development method</t>
  </si>
  <si>
    <t>to</t>
  </si>
  <si>
    <t>Here is the current information for a particular AY:</t>
  </si>
  <si>
    <t>Calculate the emergence of paid claims in the period</t>
  </si>
  <si>
    <t xml:space="preserve">  months.</t>
  </si>
  <si>
    <t>Use the</t>
  </si>
  <si>
    <t>additive</t>
  </si>
  <si>
    <t>approach to estimate the</t>
  </si>
  <si>
    <t>ALAE</t>
  </si>
  <si>
    <t>cumulative paid claims:</t>
  </si>
  <si>
    <t>cumulative paid ALAE:</t>
  </si>
  <si>
    <t>selected ultimate claims by AY</t>
  </si>
  <si>
    <t>ult clms</t>
  </si>
  <si>
    <t>When selecting development factors, you may select a SIMPLE AVERAGE in this problem.</t>
  </si>
  <si>
    <t>classical</t>
  </si>
  <si>
    <t>ULAE</t>
  </si>
  <si>
    <t>occurrence</t>
  </si>
  <si>
    <r>
      <t xml:space="preserve">  &lt;</t>
    </r>
    <r>
      <rPr>
        <b/>
        <sz val="11"/>
        <color theme="1"/>
        <rFont val="Calibri"/>
        <family val="2"/>
        <scheme val="minor"/>
      </rPr>
      <t xml:space="preserve">==  </t>
    </r>
    <r>
      <rPr>
        <sz val="11"/>
        <color theme="1"/>
        <rFont val="Calibri"/>
        <family val="2"/>
        <scheme val="minor"/>
      </rPr>
      <t>policy type</t>
    </r>
  </si>
  <si>
    <t>incurred</t>
  </si>
  <si>
    <r>
      <t xml:space="preserve">  &lt;</t>
    </r>
    <r>
      <rPr>
        <b/>
        <sz val="11"/>
        <color rgb="FFFF0000"/>
        <rFont val="Calibri"/>
        <family val="2"/>
        <scheme val="minor"/>
      </rPr>
      <t>==</t>
    </r>
    <r>
      <rPr>
        <sz val="11"/>
        <color rgb="FFFF0000"/>
        <rFont val="Calibri"/>
        <family val="2"/>
        <scheme val="minor"/>
      </rPr>
      <t xml:space="preserve"> incurred </t>
    </r>
    <r>
      <rPr>
        <u/>
        <sz val="11"/>
        <color rgb="FFFF0000"/>
        <rFont val="Calibri"/>
        <family val="2"/>
        <scheme val="minor"/>
      </rPr>
      <t>includes</t>
    </r>
    <r>
      <rPr>
        <sz val="11"/>
        <color rgb="FFFF0000"/>
        <rFont val="Calibri"/>
        <family val="2"/>
        <scheme val="minor"/>
      </rPr>
      <t xml:space="preserve"> reported &amp; IBNR</t>
    </r>
  </si>
  <si>
    <r>
      <t xml:space="preserve">  case outstanding    </t>
    </r>
    <r>
      <rPr>
        <i/>
        <sz val="11"/>
        <color theme="1"/>
        <rFont val="Calibri"/>
        <family val="2"/>
        <scheme val="minor"/>
      </rPr>
      <t>(latest AY)</t>
    </r>
  </si>
  <si>
    <r>
      <t xml:space="preserve">  total IBNR    </t>
    </r>
    <r>
      <rPr>
        <i/>
        <sz val="11"/>
        <color theme="1"/>
        <rFont val="Calibri"/>
        <family val="2"/>
        <scheme val="minor"/>
      </rPr>
      <t>(latest AY)</t>
    </r>
  </si>
  <si>
    <t xml:space="preserve">  % of total IBNR attributed to future case development on known claims</t>
  </si>
  <si>
    <t xml:space="preserve">  percent of unallocated work that occurs when a claim is opened</t>
  </si>
  <si>
    <r>
      <t xml:space="preserve">  percent of unallocated work that occurs when a claim is </t>
    </r>
    <r>
      <rPr>
        <b/>
        <sz val="11"/>
        <color rgb="FFFF0000"/>
        <rFont val="Calibri"/>
        <family val="2"/>
        <scheme val="minor"/>
      </rPr>
      <t>closed</t>
    </r>
  </si>
  <si>
    <t>method, particularly in relation to fixed expenses like building rent.</t>
  </si>
  <si>
    <t>Fullly describe why the classical formula for estimating unpaid ULAE may not be an accurate</t>
  </si>
  <si>
    <t xml:space="preserve">Use the  </t>
  </si>
  <si>
    <t>Suppose there are four 12-month auto insurance policies each with an effective date of August 1, 2023.</t>
  </si>
  <si>
    <t>Calculate the EP @ CRL for CY 2020 and 2021 assuming annual policies and 1 rate change.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</si>
</sst>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4" formatCode="_-&quot;$&quot;* #,##0.00_-;\-&quot;$&quot;* #,##0.00_-;_-&quot;$&quot;* &quot;-&quot;??_-;_-@_-"/>
    <numFmt numFmtId="43" formatCode="_-* #,##0.00_-;\-* #,##0.00_-;_-* &quot;-&quot;??_-;_-@_-"/>
    <numFmt numFmtId="164" formatCode="0.0%"/>
    <numFmt numFmtId="165" formatCode="[$-F800]dddd\,\ mmmm\ dd\,\ yyyy"/>
    <numFmt numFmtId="166" formatCode="0.0"/>
    <numFmt numFmtId="167" formatCode="#,##0.0"/>
    <numFmt numFmtId="168" formatCode="_-&quot;$&quot;* #,##0_-;\-&quot;$&quot;* #,##0_-;_-&quot;$&quot;* &quot;-&quot;??_-;_-@_-"/>
    <numFmt numFmtId="169" formatCode="#,##0.000"/>
    <numFmt numFmtId="170" formatCode="#,##0_ ;\-#,##0\ 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Times New Roman"/>
      <family val="1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222222"/>
      <name val="Arial"/>
      <family val="2"/>
    </font>
    <font>
      <b/>
      <sz val="11"/>
      <color rgb="FF0070C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u/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vertAlign val="superscript"/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1"/>
      <color rgb="FF222222"/>
      <name val="Arial"/>
      <family val="2"/>
    </font>
    <font>
      <b/>
      <u/>
      <sz val="11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i/>
      <sz val="11"/>
      <color theme="5" tint="-0.249977111117893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A52A2A"/>
      <name val="Arial"/>
      <family val="2"/>
    </font>
    <font>
      <b/>
      <sz val="11"/>
      <color rgb="FFA52A2A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9"/>
      <color rgb="FFFF0000"/>
      <name val="Calibri"/>
      <family val="2"/>
      <scheme val="minor"/>
    </font>
    <font>
      <sz val="12"/>
      <color rgb="FF333333"/>
      <name val="Calibri"/>
      <family val="2"/>
      <scheme val="minor"/>
    </font>
    <font>
      <i/>
      <sz val="12"/>
      <color rgb="FF333333"/>
      <name val="Calibri"/>
      <family val="2"/>
      <scheme val="minor"/>
    </font>
    <font>
      <u/>
      <sz val="11"/>
      <color rgb="FFFF0000"/>
      <name val="Calibri"/>
      <family val="2"/>
      <scheme val="minor"/>
    </font>
    <font>
      <b/>
      <i/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EAECF0"/>
        <bgColor indexed="64"/>
      </patternFill>
    </fill>
    <fill>
      <patternFill patternType="solid">
        <fgColor rgb="FFFFC0CB"/>
        <bgColor indexed="64"/>
      </patternFill>
    </fill>
    <fill>
      <patternFill patternType="solid">
        <fgColor rgb="FFFA8072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2" tint="-9.9948118533890809E-2"/>
      </top>
      <bottom style="thin">
        <color theme="2" tint="-9.9948118533890809E-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indexed="64"/>
      </left>
      <right style="thin">
        <color indexed="64"/>
      </right>
      <top style="thin">
        <color theme="2" tint="-9.9948118533890809E-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2" tint="-9.9948118533890809E-2"/>
      </bottom>
      <diagonal/>
    </border>
    <border>
      <left style="thin">
        <color indexed="64"/>
      </left>
      <right style="thin">
        <color indexed="64"/>
      </right>
      <top style="thin">
        <color theme="2" tint="-9.9948118533890809E-2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/>
      <right style="medium">
        <color rgb="FFA2A9B1"/>
      </right>
      <top/>
      <bottom/>
      <diagonal/>
    </border>
    <border>
      <left/>
      <right/>
      <top/>
      <bottom style="medium">
        <color rgb="FFA2A9B1"/>
      </bottom>
      <diagonal/>
    </border>
    <border>
      <left/>
      <right style="medium">
        <color rgb="FFA2A9B1"/>
      </right>
      <top/>
      <bottom style="medium">
        <color rgb="FFA2A9B1"/>
      </bottom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/>
      <diagonal/>
    </border>
    <border>
      <left style="medium">
        <color rgb="FFA2A9B1"/>
      </left>
      <right style="medium">
        <color rgb="FFA2A9B1"/>
      </right>
      <top/>
      <bottom style="medium">
        <color rgb="FFA2A9B1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13" fillId="0" borderId="0"/>
    <xf numFmtId="0" fontId="14" fillId="4" borderId="0" applyNumberFormat="0" applyBorder="0" applyAlignment="0" applyProtection="0"/>
    <xf numFmtId="0" fontId="15" fillId="5" borderId="0" applyNumberFormat="0" applyBorder="0" applyAlignment="0" applyProtection="0"/>
    <xf numFmtId="44" fontId="1" fillId="0" borderId="0" applyFont="0" applyFill="0" applyBorder="0" applyAlignment="0" applyProtection="0"/>
    <xf numFmtId="0" fontId="17" fillId="6" borderId="0" applyNumberFormat="0" applyBorder="0" applyAlignment="0" applyProtection="0"/>
    <xf numFmtId="0" fontId="1" fillId="7" borderId="0" applyNumberFormat="0" applyBorder="0" applyAlignment="0" applyProtection="0"/>
    <xf numFmtId="43" fontId="1" fillId="0" borderId="0" applyFont="0" applyFill="0" applyBorder="0" applyAlignment="0" applyProtection="0"/>
  </cellStyleXfs>
  <cellXfs count="38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Continuous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3" borderId="2" xfId="0" applyFont="1" applyFill="1" applyBorder="1" applyAlignment="1" applyProtection="1">
      <alignment horizontal="center"/>
      <protection locked="0"/>
    </xf>
    <xf numFmtId="164" fontId="2" fillId="0" borderId="0" xfId="1" applyNumberFormat="1" applyFont="1" applyAlignment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4" fillId="2" borderId="6" xfId="0" applyFont="1" applyFill="1" applyBorder="1" applyAlignment="1" applyProtection="1">
      <alignment horizontal="center"/>
    </xf>
    <xf numFmtId="0" fontId="5" fillId="2" borderId="6" xfId="0" applyFont="1" applyFill="1" applyBorder="1" applyAlignment="1" applyProtection="1">
      <alignment horizontal="center"/>
    </xf>
    <xf numFmtId="0" fontId="2" fillId="0" borderId="0" xfId="0" applyFont="1" applyAlignment="1">
      <alignment horizontal="right"/>
    </xf>
    <xf numFmtId="0" fontId="8" fillId="0" borderId="0" xfId="0" applyFont="1" applyAlignment="1">
      <alignment horizontal="centerContinuous"/>
    </xf>
    <xf numFmtId="0" fontId="9" fillId="0" borderId="0" xfId="0" applyFont="1" applyAlignment="1">
      <alignment horizontal="centerContinuous"/>
    </xf>
    <xf numFmtId="0" fontId="10" fillId="0" borderId="0" xfId="0" applyFont="1" applyAlignment="1">
      <alignment horizontal="centerContinuous"/>
    </xf>
    <xf numFmtId="0" fontId="0" fillId="0" borderId="13" xfId="0" applyFont="1" applyBorder="1" applyAlignment="1">
      <alignment horizontal="left"/>
    </xf>
    <xf numFmtId="0" fontId="0" fillId="0" borderId="14" xfId="0" applyFont="1" applyFill="1" applyBorder="1" applyAlignment="1">
      <alignment horizontal="left"/>
    </xf>
    <xf numFmtId="0" fontId="11" fillId="2" borderId="6" xfId="0" applyFont="1" applyFill="1" applyBorder="1" applyAlignment="1" applyProtection="1">
      <alignment horizontal="center"/>
    </xf>
    <xf numFmtId="0" fontId="12" fillId="2" borderId="0" xfId="0" applyFont="1" applyFill="1" applyBorder="1" applyProtection="1"/>
    <xf numFmtId="0" fontId="12" fillId="2" borderId="7" xfId="0" applyFont="1" applyFill="1" applyBorder="1" applyProtection="1"/>
    <xf numFmtId="0" fontId="0" fillId="2" borderId="0" xfId="0" applyFont="1" applyFill="1" applyBorder="1" applyProtection="1"/>
    <xf numFmtId="0" fontId="0" fillId="2" borderId="4" xfId="0" applyFont="1" applyFill="1" applyBorder="1" applyProtection="1"/>
    <xf numFmtId="0" fontId="0" fillId="0" borderId="0" xfId="0" applyFont="1" applyProtection="1">
      <protection locked="0"/>
    </xf>
    <xf numFmtId="0" fontId="0" fillId="2" borderId="6" xfId="0" applyFont="1" applyFill="1" applyBorder="1" applyProtection="1"/>
    <xf numFmtId="0" fontId="0" fillId="2" borderId="7" xfId="0" applyFont="1" applyFill="1" applyBorder="1" applyProtection="1"/>
    <xf numFmtId="0" fontId="0" fillId="2" borderId="8" xfId="0" applyFont="1" applyFill="1" applyBorder="1" applyProtection="1"/>
    <xf numFmtId="0" fontId="0" fillId="2" borderId="6" xfId="0" applyFont="1" applyFill="1" applyBorder="1" applyAlignment="1" applyProtection="1">
      <alignment horizontal="center"/>
    </xf>
    <xf numFmtId="0" fontId="0" fillId="2" borderId="0" xfId="0" applyFont="1" applyFill="1" applyBorder="1" applyProtection="1">
      <protection locked="0"/>
    </xf>
    <xf numFmtId="0" fontId="2" fillId="2" borderId="4" xfId="0" applyFont="1" applyFill="1" applyBorder="1" applyAlignment="1" applyProtection="1">
      <alignment horizontal="center"/>
      <protection locked="0"/>
    </xf>
    <xf numFmtId="0" fontId="12" fillId="2" borderId="0" xfId="0" applyFont="1" applyFill="1" applyProtection="1">
      <protection locked="0"/>
    </xf>
    <xf numFmtId="0" fontId="2" fillId="0" borderId="2" xfId="0" applyNumberFormat="1" applyFont="1" applyFill="1" applyBorder="1" applyAlignment="1">
      <alignment horizontal="center"/>
    </xf>
    <xf numFmtId="0" fontId="0" fillId="0" borderId="12" xfId="0" applyNumberFormat="1" applyFont="1" applyFill="1" applyBorder="1" applyAlignment="1">
      <alignment horizontal="center"/>
    </xf>
    <xf numFmtId="0" fontId="12" fillId="0" borderId="0" xfId="0" applyFont="1" applyProtection="1">
      <protection locked="0"/>
    </xf>
    <xf numFmtId="0" fontId="12" fillId="2" borderId="9" xfId="0" applyFont="1" applyFill="1" applyBorder="1" applyProtection="1"/>
    <xf numFmtId="0" fontId="12" fillId="2" borderId="10" xfId="0" applyFont="1" applyFill="1" applyBorder="1" applyProtection="1"/>
    <xf numFmtId="0" fontId="12" fillId="2" borderId="0" xfId="0" applyFont="1" applyFill="1" applyBorder="1" applyAlignment="1" applyProtection="1">
      <alignment horizontal="right"/>
    </xf>
    <xf numFmtId="0" fontId="12" fillId="2" borderId="0" xfId="0" applyFont="1" applyFill="1" applyBorder="1" applyAlignment="1" applyProtection="1">
      <alignment horizontal="center"/>
    </xf>
    <xf numFmtId="0" fontId="0" fillId="2" borderId="17" xfId="0" applyFont="1" applyFill="1" applyBorder="1" applyProtection="1">
      <protection locked="0"/>
    </xf>
    <xf numFmtId="0" fontId="0" fillId="0" borderId="0" xfId="0" applyFont="1"/>
    <xf numFmtId="0" fontId="0" fillId="0" borderId="0" xfId="0" applyFont="1" applyAlignment="1">
      <alignment horizontal="centerContinuous"/>
    </xf>
    <xf numFmtId="0" fontId="7" fillId="0" borderId="11" xfId="2" applyFont="1" applyBorder="1" applyAlignment="1">
      <alignment horizontal="center"/>
    </xf>
    <xf numFmtId="0" fontId="0" fillId="0" borderId="11" xfId="0" applyNumberFormat="1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11" xfId="0" applyNumberFormat="1" applyFont="1" applyFill="1" applyBorder="1" applyAlignment="1">
      <alignment horizontal="center"/>
    </xf>
    <xf numFmtId="0" fontId="7" fillId="0" borderId="11" xfId="2" quotePrefix="1" applyFont="1" applyBorder="1" applyAlignment="1">
      <alignment horizontal="center"/>
    </xf>
    <xf numFmtId="0" fontId="0" fillId="2" borderId="20" xfId="0" applyFont="1" applyFill="1" applyBorder="1" applyProtection="1">
      <protection locked="0"/>
    </xf>
    <xf numFmtId="0" fontId="0" fillId="2" borderId="15" xfId="0" applyFont="1" applyFill="1" applyBorder="1" applyProtection="1">
      <protection locked="0"/>
    </xf>
    <xf numFmtId="0" fontId="0" fillId="2" borderId="21" xfId="0" applyFont="1" applyFill="1" applyBorder="1" applyProtection="1">
      <protection locked="0"/>
    </xf>
    <xf numFmtId="0" fontId="0" fillId="2" borderId="14" xfId="0" applyFont="1" applyFill="1" applyBorder="1" applyProtection="1">
      <protection locked="0"/>
    </xf>
    <xf numFmtId="0" fontId="0" fillId="0" borderId="22" xfId="0" applyNumberFormat="1" applyFont="1" applyBorder="1" applyAlignment="1">
      <alignment horizontal="center"/>
    </xf>
    <xf numFmtId="0" fontId="0" fillId="0" borderId="23" xfId="0" applyNumberFormat="1" applyFont="1" applyBorder="1" applyAlignment="1">
      <alignment horizontal="center"/>
    </xf>
    <xf numFmtId="0" fontId="7" fillId="0" borderId="11" xfId="2" applyFill="1" applyBorder="1" applyAlignment="1">
      <alignment horizontal="center"/>
    </xf>
    <xf numFmtId="0" fontId="12" fillId="0" borderId="23" xfId="5" applyNumberFormat="1" applyFont="1" applyFill="1" applyBorder="1" applyAlignment="1">
      <alignment horizontal="center"/>
    </xf>
    <xf numFmtId="0" fontId="12" fillId="0" borderId="11" xfId="5" applyNumberFormat="1" applyFont="1" applyFill="1" applyBorder="1" applyAlignment="1">
      <alignment horizontal="center"/>
    </xf>
    <xf numFmtId="0" fontId="0" fillId="0" borderId="24" xfId="0" applyNumberFormat="1" applyFont="1" applyBorder="1" applyAlignment="1">
      <alignment horizontal="center"/>
    </xf>
    <xf numFmtId="0" fontId="12" fillId="0" borderId="25" xfId="5" applyNumberFormat="1" applyFont="1" applyFill="1" applyBorder="1" applyAlignment="1">
      <alignment horizontal="center"/>
    </xf>
    <xf numFmtId="3" fontId="0" fillId="0" borderId="0" xfId="0" applyNumberFormat="1" applyFont="1" applyProtection="1">
      <protection locked="0"/>
    </xf>
    <xf numFmtId="0" fontId="0" fillId="2" borderId="16" xfId="0" applyFont="1" applyFill="1" applyBorder="1" applyProtection="1">
      <protection locked="0"/>
    </xf>
    <xf numFmtId="0" fontId="0" fillId="2" borderId="18" xfId="0" applyFont="1" applyFill="1" applyBorder="1" applyProtection="1">
      <protection locked="0"/>
    </xf>
    <xf numFmtId="3" fontId="0" fillId="2" borderId="0" xfId="0" applyNumberFormat="1" applyFont="1" applyFill="1" applyBorder="1" applyProtection="1">
      <protection locked="0"/>
    </xf>
    <xf numFmtId="0" fontId="0" fillId="2" borderId="19" xfId="0" applyFont="1" applyFill="1" applyBorder="1" applyProtection="1">
      <protection locked="0"/>
    </xf>
    <xf numFmtId="3" fontId="0" fillId="2" borderId="20" xfId="0" applyNumberFormat="1" applyFont="1" applyFill="1" applyBorder="1" applyProtection="1">
      <protection locked="0"/>
    </xf>
    <xf numFmtId="3" fontId="0" fillId="2" borderId="14" xfId="0" applyNumberFormat="1" applyFont="1" applyFill="1" applyBorder="1" applyProtection="1">
      <protection locked="0"/>
    </xf>
    <xf numFmtId="3" fontId="0" fillId="2" borderId="21" xfId="0" applyNumberFormat="1" applyFont="1" applyFill="1" applyBorder="1" applyProtection="1">
      <protection locked="0"/>
    </xf>
    <xf numFmtId="3" fontId="12" fillId="0" borderId="1" xfId="0" applyNumberFormat="1" applyFont="1" applyFill="1" applyBorder="1" applyProtection="1">
      <protection locked="0"/>
    </xf>
    <xf numFmtId="9" fontId="12" fillId="0" borderId="1" xfId="1" applyFont="1" applyFill="1" applyBorder="1" applyProtection="1">
      <protection locked="0"/>
    </xf>
    <xf numFmtId="0" fontId="0" fillId="2" borderId="0" xfId="0" applyFill="1"/>
    <xf numFmtId="0" fontId="12" fillId="2" borderId="16" xfId="0" applyFont="1" applyFill="1" applyBorder="1" applyProtection="1">
      <protection locked="0"/>
    </xf>
    <xf numFmtId="0" fontId="0" fillId="2" borderId="26" xfId="0" applyFill="1" applyBorder="1"/>
    <xf numFmtId="0" fontId="12" fillId="2" borderId="18" xfId="0" applyFont="1" applyFill="1" applyBorder="1" applyProtection="1"/>
    <xf numFmtId="9" fontId="0" fillId="2" borderId="27" xfId="0" applyNumberFormat="1" applyFill="1" applyBorder="1"/>
    <xf numFmtId="0" fontId="12" fillId="2" borderId="19" xfId="0" applyFont="1" applyFill="1" applyBorder="1" applyProtection="1"/>
    <xf numFmtId="0" fontId="12" fillId="2" borderId="20" xfId="0" applyFont="1" applyFill="1" applyBorder="1" applyProtection="1"/>
    <xf numFmtId="165" fontId="0" fillId="2" borderId="12" xfId="0" applyNumberFormat="1" applyFill="1" applyBorder="1"/>
    <xf numFmtId="0" fontId="0" fillId="2" borderId="12" xfId="0" applyFill="1" applyBorder="1"/>
    <xf numFmtId="0" fontId="12" fillId="2" borderId="26" xfId="0" applyFont="1" applyFill="1" applyBorder="1" applyProtection="1">
      <protection locked="0"/>
    </xf>
    <xf numFmtId="0" fontId="12" fillId="2" borderId="12" xfId="0" applyFont="1" applyFill="1" applyBorder="1" applyProtection="1"/>
    <xf numFmtId="0" fontId="12" fillId="2" borderId="27" xfId="0" applyFont="1" applyFill="1" applyBorder="1" applyProtection="1"/>
    <xf numFmtId="3" fontId="0" fillId="0" borderId="0" xfId="0" applyNumberFormat="1"/>
    <xf numFmtId="0" fontId="12" fillId="2" borderId="17" xfId="0" applyFont="1" applyFill="1" applyBorder="1" applyAlignment="1" applyProtection="1">
      <alignment horizontal="right"/>
      <protection locked="0"/>
    </xf>
    <xf numFmtId="0" fontId="12" fillId="2" borderId="26" xfId="0" applyFont="1" applyFill="1" applyBorder="1" applyAlignment="1" applyProtection="1">
      <alignment horizontal="right"/>
      <protection locked="0"/>
    </xf>
    <xf numFmtId="3" fontId="12" fillId="2" borderId="0" xfId="0" applyNumberFormat="1" applyFont="1" applyFill="1" applyBorder="1" applyProtection="1">
      <protection locked="0"/>
    </xf>
    <xf numFmtId="3" fontId="12" fillId="2" borderId="27" xfId="0" applyNumberFormat="1" applyFont="1" applyFill="1" applyBorder="1" applyProtection="1">
      <protection locked="0"/>
    </xf>
    <xf numFmtId="3" fontId="12" fillId="2" borderId="20" xfId="0" applyNumberFormat="1" applyFont="1" applyFill="1" applyBorder="1" applyProtection="1">
      <protection locked="0"/>
    </xf>
    <xf numFmtId="3" fontId="12" fillId="2" borderId="12" xfId="0" applyNumberFormat="1" applyFont="1" applyFill="1" applyBorder="1" applyProtection="1">
      <protection locked="0"/>
    </xf>
    <xf numFmtId="0" fontId="12" fillId="2" borderId="20" xfId="0" applyFont="1" applyFill="1" applyBorder="1" applyAlignment="1" applyProtection="1">
      <alignment horizontal="right"/>
      <protection locked="0"/>
    </xf>
    <xf numFmtId="0" fontId="12" fillId="2" borderId="12" xfId="0" applyFont="1" applyFill="1" applyBorder="1" applyAlignment="1" applyProtection="1">
      <alignment horizontal="right"/>
      <protection locked="0"/>
    </xf>
    <xf numFmtId="0" fontId="12" fillId="2" borderId="15" xfId="0" applyFont="1" applyFill="1" applyBorder="1" applyProtection="1">
      <protection locked="0"/>
    </xf>
    <xf numFmtId="0" fontId="12" fillId="2" borderId="14" xfId="0" applyFont="1" applyFill="1" applyBorder="1" applyAlignment="1" applyProtection="1">
      <alignment horizontal="center"/>
      <protection locked="0"/>
    </xf>
    <xf numFmtId="0" fontId="12" fillId="2" borderId="21" xfId="0" applyFont="1" applyFill="1" applyBorder="1" applyAlignment="1" applyProtection="1">
      <alignment horizontal="center"/>
      <protection locked="0"/>
    </xf>
    <xf numFmtId="0" fontId="0" fillId="2" borderId="0" xfId="0" applyFont="1" applyFill="1" applyProtection="1">
      <protection locked="0"/>
    </xf>
    <xf numFmtId="0" fontId="0" fillId="2" borderId="0" xfId="0" applyFont="1" applyFill="1" applyAlignment="1" applyProtection="1">
      <alignment horizontal="left"/>
      <protection locked="0"/>
    </xf>
    <xf numFmtId="3" fontId="0" fillId="0" borderId="0" xfId="0" applyNumberFormat="1" applyFont="1"/>
    <xf numFmtId="3" fontId="0" fillId="2" borderId="16" xfId="0" applyNumberFormat="1" applyFont="1" applyFill="1" applyBorder="1"/>
    <xf numFmtId="3" fontId="0" fillId="2" borderId="17" xfId="0" applyNumberFormat="1" applyFont="1" applyFill="1" applyBorder="1"/>
    <xf numFmtId="3" fontId="0" fillId="2" borderId="26" xfId="0" applyNumberFormat="1" applyFont="1" applyFill="1" applyBorder="1"/>
    <xf numFmtId="3" fontId="0" fillId="2" borderId="26" xfId="0" applyNumberFormat="1" applyFill="1" applyBorder="1" applyAlignment="1">
      <alignment horizontal="right"/>
    </xf>
    <xf numFmtId="3" fontId="0" fillId="2" borderId="0" xfId="0" applyNumberFormat="1" applyFont="1" applyFill="1"/>
    <xf numFmtId="3" fontId="0" fillId="2" borderId="18" xfId="0" applyNumberFormat="1" applyFont="1" applyFill="1" applyBorder="1"/>
    <xf numFmtId="3" fontId="0" fillId="2" borderId="0" xfId="0" applyNumberFormat="1" applyFont="1" applyFill="1" applyBorder="1"/>
    <xf numFmtId="3" fontId="0" fillId="2" borderId="27" xfId="0" applyNumberFormat="1" applyFont="1" applyFill="1" applyBorder="1"/>
    <xf numFmtId="3" fontId="0" fillId="2" borderId="27" xfId="0" applyNumberFormat="1" applyFill="1" applyBorder="1" applyAlignment="1">
      <alignment horizontal="right"/>
    </xf>
    <xf numFmtId="0" fontId="0" fillId="2" borderId="0" xfId="0" applyFont="1" applyFill="1" applyBorder="1"/>
    <xf numFmtId="0" fontId="0" fillId="2" borderId="27" xfId="0" applyFont="1" applyFill="1" applyBorder="1"/>
    <xf numFmtId="9" fontId="0" fillId="2" borderId="26" xfId="1" applyFont="1" applyFill="1" applyBorder="1"/>
    <xf numFmtId="3" fontId="0" fillId="2" borderId="19" xfId="0" applyNumberFormat="1" applyFont="1" applyFill="1" applyBorder="1"/>
    <xf numFmtId="3" fontId="0" fillId="2" borderId="20" xfId="0" applyNumberFormat="1" applyFont="1" applyFill="1" applyBorder="1"/>
    <xf numFmtId="3" fontId="0" fillId="2" borderId="12" xfId="0" applyNumberFormat="1" applyFont="1" applyFill="1" applyBorder="1"/>
    <xf numFmtId="9" fontId="0" fillId="2" borderId="12" xfId="1" applyFont="1" applyFill="1" applyBorder="1"/>
    <xf numFmtId="0" fontId="0" fillId="2" borderId="17" xfId="0" applyFont="1" applyFill="1" applyBorder="1"/>
    <xf numFmtId="0" fontId="0" fillId="2" borderId="26" xfId="0" applyFont="1" applyFill="1" applyBorder="1"/>
    <xf numFmtId="0" fontId="0" fillId="2" borderId="20" xfId="0" applyFont="1" applyFill="1" applyBorder="1"/>
    <xf numFmtId="0" fontId="0" fillId="2" borderId="12" xfId="0" applyFont="1" applyFill="1" applyBorder="1"/>
    <xf numFmtId="3" fontId="0" fillId="2" borderId="12" xfId="0" applyNumberFormat="1" applyFill="1" applyBorder="1" applyAlignment="1">
      <alignment horizontal="right"/>
    </xf>
    <xf numFmtId="9" fontId="0" fillId="2" borderId="27" xfId="1" applyFont="1" applyFill="1" applyBorder="1"/>
    <xf numFmtId="3" fontId="2" fillId="2" borderId="0" xfId="0" applyNumberFormat="1" applyFont="1" applyFill="1"/>
    <xf numFmtId="0" fontId="0" fillId="2" borderId="0" xfId="0" applyFont="1" applyFill="1"/>
    <xf numFmtId="3" fontId="0" fillId="2" borderId="0" xfId="0" applyNumberFormat="1" applyFill="1"/>
    <xf numFmtId="3" fontId="0" fillId="2" borderId="15" xfId="0" applyNumberFormat="1" applyFont="1" applyFill="1" applyBorder="1" applyAlignment="1">
      <alignment horizontal="center"/>
    </xf>
    <xf numFmtId="3" fontId="0" fillId="2" borderId="17" xfId="0" applyNumberFormat="1" applyFont="1" applyFill="1" applyBorder="1" applyAlignment="1">
      <alignment horizontal="right"/>
    </xf>
    <xf numFmtId="3" fontId="0" fillId="2" borderId="26" xfId="0" applyNumberFormat="1" applyFont="1" applyFill="1" applyBorder="1" applyAlignment="1">
      <alignment horizontal="right"/>
    </xf>
    <xf numFmtId="3" fontId="0" fillId="2" borderId="14" xfId="0" applyNumberFormat="1" applyFont="1" applyFill="1" applyBorder="1" applyAlignment="1">
      <alignment horizontal="center"/>
    </xf>
    <xf numFmtId="3" fontId="0" fillId="2" borderId="20" xfId="0" applyNumberFormat="1" applyFont="1" applyFill="1" applyBorder="1" applyAlignment="1">
      <alignment horizontal="right"/>
    </xf>
    <xf numFmtId="3" fontId="0" fillId="2" borderId="12" xfId="0" applyNumberFormat="1" applyFont="1" applyFill="1" applyBorder="1" applyAlignment="1">
      <alignment horizontal="right"/>
    </xf>
    <xf numFmtId="3" fontId="0" fillId="2" borderId="15" xfId="0" applyNumberFormat="1" applyFont="1" applyFill="1" applyBorder="1"/>
    <xf numFmtId="4" fontId="0" fillId="2" borderId="26" xfId="0" applyNumberFormat="1" applyFont="1" applyFill="1" applyBorder="1" applyAlignment="1">
      <alignment horizontal="center"/>
    </xf>
    <xf numFmtId="1" fontId="0" fillId="2" borderId="21" xfId="0" applyNumberFormat="1" applyFont="1" applyFill="1" applyBorder="1" applyAlignment="1">
      <alignment horizontal="center"/>
    </xf>
    <xf numFmtId="3" fontId="0" fillId="2" borderId="21" xfId="0" applyNumberFormat="1" applyFont="1" applyFill="1" applyBorder="1"/>
    <xf numFmtId="4" fontId="0" fillId="2" borderId="27" xfId="0" applyNumberFormat="1" applyFont="1" applyFill="1" applyBorder="1" applyAlignment="1">
      <alignment horizontal="center"/>
    </xf>
    <xf numFmtId="168" fontId="0" fillId="2" borderId="27" xfId="6" applyNumberFormat="1" applyFont="1" applyFill="1" applyBorder="1"/>
    <xf numFmtId="1" fontId="0" fillId="2" borderId="14" xfId="0" applyNumberFormat="1" applyFont="1" applyFill="1" applyBorder="1" applyAlignment="1">
      <alignment horizontal="center"/>
    </xf>
    <xf numFmtId="3" fontId="0" fillId="2" borderId="14" xfId="0" applyNumberFormat="1" applyFont="1" applyFill="1" applyBorder="1"/>
    <xf numFmtId="4" fontId="0" fillId="2" borderId="12" xfId="0" applyNumberFormat="1" applyFont="1" applyFill="1" applyBorder="1" applyAlignment="1">
      <alignment horizontal="center"/>
    </xf>
    <xf numFmtId="3" fontId="0" fillId="2" borderId="13" xfId="0" applyNumberFormat="1" applyFont="1" applyFill="1" applyBorder="1"/>
    <xf numFmtId="3" fontId="0" fillId="2" borderId="29" xfId="0" applyNumberFormat="1" applyFont="1" applyFill="1" applyBorder="1"/>
    <xf numFmtId="9" fontId="0" fillId="2" borderId="29" xfId="1" applyFont="1" applyFill="1" applyBorder="1"/>
    <xf numFmtId="0" fontId="2" fillId="2" borderId="0" xfId="0" applyFont="1" applyFill="1"/>
    <xf numFmtId="3" fontId="6" fillId="2" borderId="0" xfId="0" applyNumberFormat="1" applyFont="1" applyFill="1"/>
    <xf numFmtId="164" fontId="0" fillId="2" borderId="26" xfId="1" applyNumberFormat="1" applyFont="1" applyFill="1" applyBorder="1"/>
    <xf numFmtId="164" fontId="0" fillId="2" borderId="12" xfId="1" applyNumberFormat="1" applyFont="1" applyFill="1" applyBorder="1"/>
    <xf numFmtId="1" fontId="0" fillId="2" borderId="13" xfId="0" applyNumberFormat="1" applyFont="1" applyFill="1" applyBorder="1" applyAlignment="1">
      <alignment horizontal="center"/>
    </xf>
    <xf numFmtId="0" fontId="0" fillId="2" borderId="28" xfId="0" quotePrefix="1" applyNumberFormat="1" applyFont="1" applyFill="1" applyBorder="1" applyAlignment="1">
      <alignment horizontal="center"/>
    </xf>
    <xf numFmtId="0" fontId="0" fillId="2" borderId="29" xfId="0" quotePrefix="1" applyNumberFormat="1" applyFont="1" applyFill="1" applyBorder="1" applyAlignment="1">
      <alignment horizontal="center"/>
    </xf>
    <xf numFmtId="3" fontId="0" fillId="2" borderId="18" xfId="0" applyNumberFormat="1" applyFont="1" applyFill="1" applyBorder="1" applyAlignment="1">
      <alignment horizontal="center"/>
    </xf>
    <xf numFmtId="3" fontId="2" fillId="2" borderId="27" xfId="0" applyNumberFormat="1" applyFont="1" applyFill="1" applyBorder="1" applyAlignment="1">
      <alignment horizontal="center"/>
    </xf>
    <xf numFmtId="3" fontId="0" fillId="2" borderId="19" xfId="0" applyNumberFormat="1" applyFont="1" applyFill="1" applyBorder="1" applyAlignment="1">
      <alignment horizontal="center"/>
    </xf>
    <xf numFmtId="3" fontId="2" fillId="2" borderId="12" xfId="0" applyNumberFormat="1" applyFont="1" applyFill="1" applyBorder="1" applyAlignment="1">
      <alignment horizontal="center"/>
    </xf>
    <xf numFmtId="3" fontId="2" fillId="2" borderId="13" xfId="0" applyNumberFormat="1" applyFont="1" applyFill="1" applyBorder="1"/>
    <xf numFmtId="3" fontId="0" fillId="2" borderId="28" xfId="0" applyNumberFormat="1" applyFont="1" applyFill="1" applyBorder="1"/>
    <xf numFmtId="1" fontId="0" fillId="2" borderId="29" xfId="0" applyNumberFormat="1" applyFont="1" applyFill="1" applyBorder="1" applyAlignment="1">
      <alignment horizontal="center"/>
    </xf>
    <xf numFmtId="3" fontId="5" fillId="2" borderId="18" xfId="0" applyNumberFormat="1" applyFont="1" applyFill="1" applyBorder="1" applyAlignment="1">
      <alignment horizontal="center"/>
    </xf>
    <xf numFmtId="3" fontId="16" fillId="2" borderId="18" xfId="0" applyNumberFormat="1" applyFont="1" applyFill="1" applyBorder="1" applyAlignment="1">
      <alignment horizontal="left"/>
    </xf>
    <xf numFmtId="0" fontId="2" fillId="2" borderId="20" xfId="0" applyFont="1" applyFill="1" applyBorder="1"/>
    <xf numFmtId="0" fontId="12" fillId="2" borderId="20" xfId="0" applyFont="1" applyFill="1" applyBorder="1" applyProtection="1">
      <protection locked="0"/>
    </xf>
    <xf numFmtId="0" fontId="11" fillId="2" borderId="20" xfId="0" applyFont="1" applyFill="1" applyBorder="1" applyProtection="1"/>
    <xf numFmtId="3" fontId="0" fillId="2" borderId="0" xfId="0" applyNumberFormat="1" applyFont="1" applyFill="1" applyAlignment="1">
      <alignment horizontal="center"/>
    </xf>
    <xf numFmtId="3" fontId="0" fillId="2" borderId="17" xfId="0" applyNumberFormat="1" applyFont="1" applyFill="1" applyBorder="1" applyAlignment="1">
      <alignment horizontal="center"/>
    </xf>
    <xf numFmtId="3" fontId="0" fillId="2" borderId="26" xfId="0" applyNumberFormat="1" applyFont="1" applyFill="1" applyBorder="1" applyAlignment="1">
      <alignment horizontal="center"/>
    </xf>
    <xf numFmtId="3" fontId="0" fillId="2" borderId="21" xfId="0" applyNumberFormat="1" applyFont="1" applyFill="1" applyBorder="1" applyAlignment="1">
      <alignment horizontal="center"/>
    </xf>
    <xf numFmtId="3" fontId="0" fillId="2" borderId="0" xfId="0" applyNumberFormat="1" applyFont="1" applyFill="1" applyBorder="1" applyAlignment="1">
      <alignment horizontal="center"/>
    </xf>
    <xf numFmtId="3" fontId="0" fillId="2" borderId="27" xfId="0" applyNumberFormat="1" applyFont="1" applyFill="1" applyBorder="1" applyAlignment="1">
      <alignment horizontal="center"/>
    </xf>
    <xf numFmtId="3" fontId="0" fillId="2" borderId="20" xfId="0" applyNumberFormat="1" applyFont="1" applyFill="1" applyBorder="1" applyAlignment="1">
      <alignment horizontal="center"/>
    </xf>
    <xf numFmtId="3" fontId="0" fillId="2" borderId="12" xfId="0" applyNumberFormat="1" applyFont="1" applyFill="1" applyBorder="1" applyAlignment="1">
      <alignment horizontal="center"/>
    </xf>
    <xf numFmtId="3" fontId="0" fillId="2" borderId="1" xfId="0" applyNumberFormat="1" applyFont="1" applyFill="1" applyBorder="1" applyAlignment="1">
      <alignment horizontal="center"/>
    </xf>
    <xf numFmtId="0" fontId="12" fillId="2" borderId="0" xfId="0" applyFont="1" applyFill="1" applyBorder="1" applyAlignment="1" applyProtection="1"/>
    <xf numFmtId="3" fontId="0" fillId="2" borderId="0" xfId="0" applyNumberFormat="1" applyFont="1" applyFill="1" applyAlignment="1">
      <alignment horizontal="right"/>
    </xf>
    <xf numFmtId="3" fontId="0" fillId="2" borderId="0" xfId="0" quotePrefix="1" applyNumberFormat="1" applyFont="1" applyFill="1" applyAlignment="1">
      <alignment horizontal="right"/>
    </xf>
    <xf numFmtId="3" fontId="0" fillId="2" borderId="0" xfId="0" applyNumberFormat="1" applyFill="1" applyAlignment="1">
      <alignment horizontal="center"/>
    </xf>
    <xf numFmtId="3" fontId="16" fillId="2" borderId="0" xfId="0" applyNumberFormat="1" applyFont="1" applyFill="1" applyAlignment="1">
      <alignment horizontal="right"/>
    </xf>
    <xf numFmtId="3" fontId="16" fillId="2" borderId="0" xfId="0" applyNumberFormat="1" applyFont="1" applyFill="1" applyAlignment="1">
      <alignment horizontal="left"/>
    </xf>
    <xf numFmtId="3" fontId="24" fillId="2" borderId="0" xfId="0" applyNumberFormat="1" applyFont="1" applyFill="1" applyBorder="1" applyAlignment="1">
      <alignment horizontal="center"/>
    </xf>
    <xf numFmtId="3" fontId="24" fillId="2" borderId="21" xfId="0" applyNumberFormat="1" applyFont="1" applyFill="1" applyBorder="1" applyAlignment="1">
      <alignment horizontal="center"/>
    </xf>
    <xf numFmtId="3" fontId="5" fillId="2" borderId="0" xfId="0" applyNumberFormat="1" applyFont="1" applyFill="1"/>
    <xf numFmtId="3" fontId="16" fillId="2" borderId="1" xfId="0" applyNumberFormat="1" applyFont="1" applyFill="1" applyBorder="1"/>
    <xf numFmtId="3" fontId="16" fillId="2" borderId="0" xfId="0" applyNumberFormat="1" applyFont="1" applyFill="1" applyAlignment="1">
      <alignment horizontal="center"/>
    </xf>
    <xf numFmtId="3" fontId="25" fillId="2" borderId="0" xfId="0" applyNumberFormat="1" applyFont="1" applyFill="1" applyAlignment="1">
      <alignment horizontal="center"/>
    </xf>
    <xf numFmtId="3" fontId="16" fillId="2" borderId="0" xfId="0" applyNumberFormat="1" applyFont="1" applyFill="1"/>
    <xf numFmtId="3" fontId="12" fillId="2" borderId="0" xfId="0" quotePrefix="1" applyNumberFormat="1" applyFont="1" applyFill="1" applyAlignment="1">
      <alignment horizontal="left"/>
    </xf>
    <xf numFmtId="3" fontId="16" fillId="2" borderId="0" xfId="0" quotePrefix="1" applyNumberFormat="1" applyFont="1" applyFill="1"/>
    <xf numFmtId="3" fontId="24" fillId="2" borderId="15" xfId="0" applyNumberFormat="1" applyFont="1" applyFill="1" applyBorder="1" applyAlignment="1">
      <alignment horizontal="center"/>
    </xf>
    <xf numFmtId="3" fontId="0" fillId="2" borderId="3" xfId="0" applyNumberFormat="1" applyFont="1" applyFill="1" applyBorder="1"/>
    <xf numFmtId="3" fontId="0" fillId="2" borderId="4" xfId="0" applyNumberFormat="1" applyFont="1" applyFill="1" applyBorder="1"/>
    <xf numFmtId="3" fontId="0" fillId="2" borderId="5" xfId="0" applyNumberFormat="1" applyFont="1" applyFill="1" applyBorder="1"/>
    <xf numFmtId="3" fontId="0" fillId="2" borderId="6" xfId="0" applyNumberFormat="1" applyFont="1" applyFill="1" applyBorder="1"/>
    <xf numFmtId="3" fontId="0" fillId="2" borderId="7" xfId="0" applyNumberFormat="1" applyFont="1" applyFill="1" applyBorder="1"/>
    <xf numFmtId="3" fontId="0" fillId="2" borderId="8" xfId="0" applyNumberFormat="1" applyFont="1" applyFill="1" applyBorder="1"/>
    <xf numFmtId="3" fontId="0" fillId="2" borderId="30" xfId="0" applyNumberFormat="1" applyFont="1" applyFill="1" applyBorder="1"/>
    <xf numFmtId="3" fontId="0" fillId="2" borderId="9" xfId="0" applyNumberFormat="1" applyFont="1" applyFill="1" applyBorder="1"/>
    <xf numFmtId="3" fontId="0" fillId="2" borderId="10" xfId="0" applyNumberFormat="1" applyFont="1" applyFill="1" applyBorder="1"/>
    <xf numFmtId="3" fontId="0" fillId="2" borderId="16" xfId="0" applyNumberFormat="1" applyFont="1" applyFill="1" applyBorder="1" applyAlignment="1">
      <alignment horizontal="centerContinuous"/>
    </xf>
    <xf numFmtId="3" fontId="0" fillId="2" borderId="26" xfId="0" applyNumberFormat="1" applyFont="1" applyFill="1" applyBorder="1" applyAlignment="1">
      <alignment horizontal="centerContinuous"/>
    </xf>
    <xf numFmtId="164" fontId="0" fillId="2" borderId="0" xfId="1" applyNumberFormat="1" applyFont="1" applyFill="1"/>
    <xf numFmtId="3" fontId="0" fillId="2" borderId="19" xfId="0" applyNumberFormat="1" applyFont="1" applyFill="1" applyBorder="1" applyAlignment="1">
      <alignment horizontal="centerContinuous"/>
    </xf>
    <xf numFmtId="3" fontId="0" fillId="2" borderId="12" xfId="0" applyNumberFormat="1" applyFont="1" applyFill="1" applyBorder="1" applyAlignment="1">
      <alignment horizontal="centerContinuous"/>
    </xf>
    <xf numFmtId="3" fontId="0" fillId="2" borderId="18" xfId="0" applyNumberFormat="1" applyFont="1" applyFill="1" applyBorder="1" applyAlignment="1">
      <alignment horizontal="centerContinuous"/>
    </xf>
    <xf numFmtId="3" fontId="0" fillId="2" borderId="27" xfId="0" applyNumberFormat="1" applyFont="1" applyFill="1" applyBorder="1" applyAlignment="1">
      <alignment horizontal="centerContinuous"/>
    </xf>
    <xf numFmtId="9" fontId="0" fillId="2" borderId="27" xfId="1" applyFont="1" applyFill="1" applyBorder="1" applyAlignment="1">
      <alignment horizontal="center"/>
    </xf>
    <xf numFmtId="9" fontId="0" fillId="2" borderId="12" xfId="1" applyFont="1" applyFill="1" applyBorder="1" applyAlignment="1">
      <alignment horizontal="center"/>
    </xf>
    <xf numFmtId="3" fontId="0" fillId="2" borderId="13" xfId="0" applyNumberFormat="1" applyFont="1" applyFill="1" applyBorder="1" applyAlignment="1">
      <alignment horizontal="center"/>
    </xf>
    <xf numFmtId="3" fontId="0" fillId="2" borderId="13" xfId="0" applyNumberFormat="1" applyFont="1" applyFill="1" applyBorder="1" applyAlignment="1">
      <alignment horizontal="centerContinuous"/>
    </xf>
    <xf numFmtId="3" fontId="0" fillId="2" borderId="29" xfId="0" applyNumberFormat="1" applyFont="1" applyFill="1" applyBorder="1" applyAlignment="1">
      <alignment horizontal="centerContinuous"/>
    </xf>
    <xf numFmtId="3" fontId="12" fillId="2" borderId="0" xfId="0" applyNumberFormat="1" applyFont="1" applyFill="1" applyBorder="1" applyProtection="1"/>
    <xf numFmtId="0" fontId="12" fillId="2" borderId="16" xfId="0" applyFont="1" applyFill="1" applyBorder="1" applyProtection="1"/>
    <xf numFmtId="0" fontId="12" fillId="2" borderId="17" xfId="0" applyFont="1" applyFill="1" applyBorder="1" applyProtection="1"/>
    <xf numFmtId="3" fontId="12" fillId="2" borderId="26" xfId="0" applyNumberFormat="1" applyFont="1" applyFill="1" applyBorder="1" applyProtection="1"/>
    <xf numFmtId="3" fontId="12" fillId="2" borderId="27" xfId="0" applyNumberFormat="1" applyFont="1" applyFill="1" applyBorder="1" applyProtection="1"/>
    <xf numFmtId="0" fontId="12" fillId="2" borderId="18" xfId="0" applyFont="1" applyFill="1" applyBorder="1" applyProtection="1">
      <protection locked="0"/>
    </xf>
    <xf numFmtId="0" fontId="12" fillId="2" borderId="0" xfId="0" applyFont="1" applyFill="1" applyBorder="1" applyProtection="1">
      <protection locked="0"/>
    </xf>
    <xf numFmtId="9" fontId="12" fillId="2" borderId="27" xfId="1" applyFont="1" applyFill="1" applyBorder="1" applyProtection="1">
      <protection locked="0"/>
    </xf>
    <xf numFmtId="0" fontId="12" fillId="2" borderId="19" xfId="0" applyFont="1" applyFill="1" applyBorder="1" applyProtection="1">
      <protection locked="0"/>
    </xf>
    <xf numFmtId="9" fontId="12" fillId="2" borderId="12" xfId="1" applyFont="1" applyFill="1" applyBorder="1" applyProtection="1">
      <protection locked="0"/>
    </xf>
    <xf numFmtId="3" fontId="12" fillId="2" borderId="12" xfId="0" applyNumberFormat="1" applyFont="1" applyFill="1" applyBorder="1" applyProtection="1"/>
    <xf numFmtId="0" fontId="12" fillId="8" borderId="31" xfId="0" applyFont="1" applyFill="1" applyBorder="1" applyProtection="1"/>
    <xf numFmtId="0" fontId="12" fillId="8" borderId="32" xfId="0" applyFont="1" applyFill="1" applyBorder="1" applyProtection="1"/>
    <xf numFmtId="0" fontId="12" fillId="8" borderId="33" xfId="0" applyFont="1" applyFill="1" applyBorder="1" applyProtection="1"/>
    <xf numFmtId="0" fontId="27" fillId="2" borderId="0" xfId="0" applyFont="1" applyFill="1" applyBorder="1" applyAlignment="1">
      <alignment horizontal="center"/>
    </xf>
    <xf numFmtId="0" fontId="16" fillId="2" borderId="0" xfId="0" applyFont="1" applyFill="1"/>
    <xf numFmtId="0" fontId="0" fillId="2" borderId="20" xfId="0" applyFill="1" applyBorder="1" applyAlignment="1">
      <alignment horizontal="center"/>
    </xf>
    <xf numFmtId="0" fontId="19" fillId="2" borderId="20" xfId="0" applyFont="1" applyFill="1" applyBorder="1"/>
    <xf numFmtId="0" fontId="19" fillId="2" borderId="0" xfId="0" applyFont="1" applyFill="1" applyAlignment="1">
      <alignment horizontal="center"/>
    </xf>
    <xf numFmtId="3" fontId="12" fillId="2" borderId="0" xfId="0" applyNumberFormat="1" applyFont="1" applyFill="1"/>
    <xf numFmtId="0" fontId="0" fillId="2" borderId="0" xfId="0" applyNumberFormat="1" applyFill="1"/>
    <xf numFmtId="0" fontId="0" fillId="2" borderId="1" xfId="0" applyNumberFormat="1" applyFill="1" applyBorder="1" applyAlignment="1">
      <alignment horizontal="center"/>
    </xf>
    <xf numFmtId="3" fontId="0" fillId="2" borderId="1" xfId="0" applyNumberFormat="1" applyFill="1" applyBorder="1" applyAlignment="1">
      <alignment horizontal="center"/>
    </xf>
    <xf numFmtId="3" fontId="0" fillId="2" borderId="0" xfId="0" applyNumberFormat="1" applyFont="1" applyFill="1" applyAlignment="1">
      <alignment horizontal="centerContinuous"/>
    </xf>
    <xf numFmtId="3" fontId="19" fillId="2" borderId="28" xfId="0" applyNumberFormat="1" applyFont="1" applyFill="1" applyBorder="1" applyAlignment="1">
      <alignment horizontal="right"/>
    </xf>
    <xf numFmtId="3" fontId="19" fillId="2" borderId="29" xfId="0" applyNumberFormat="1" applyFont="1" applyFill="1" applyBorder="1" applyAlignment="1">
      <alignment horizontal="right"/>
    </xf>
    <xf numFmtId="1" fontId="19" fillId="2" borderId="21" xfId="0" applyNumberFormat="1" applyFont="1" applyFill="1" applyBorder="1" applyAlignment="1">
      <alignment horizontal="center"/>
    </xf>
    <xf numFmtId="3" fontId="28" fillId="2" borderId="27" xfId="0" applyNumberFormat="1" applyFont="1" applyFill="1" applyBorder="1"/>
    <xf numFmtId="3" fontId="28" fillId="2" borderId="0" xfId="0" applyNumberFormat="1" applyFont="1" applyFill="1" applyBorder="1"/>
    <xf numFmtId="1" fontId="19" fillId="2" borderId="14" xfId="0" applyNumberFormat="1" applyFont="1" applyFill="1" applyBorder="1" applyAlignment="1">
      <alignment horizontal="center"/>
    </xf>
    <xf numFmtId="3" fontId="28" fillId="2" borderId="20" xfId="0" applyNumberFormat="1" applyFont="1" applyFill="1" applyBorder="1"/>
    <xf numFmtId="0" fontId="6" fillId="2" borderId="0" xfId="0" applyFont="1" applyFill="1"/>
    <xf numFmtId="1" fontId="0" fillId="2" borderId="1" xfId="0" applyNumberFormat="1" applyFont="1" applyFill="1" applyBorder="1" applyAlignment="1">
      <alignment horizontal="center"/>
    </xf>
    <xf numFmtId="0" fontId="26" fillId="10" borderId="34" xfId="0" applyFont="1" applyFill="1" applyBorder="1" applyAlignment="1">
      <alignment horizontal="center" vertical="center" wrapText="1"/>
    </xf>
    <xf numFmtId="166" fontId="18" fillId="9" borderId="34" xfId="0" applyNumberFormat="1" applyFont="1" applyFill="1" applyBorder="1" applyAlignment="1">
      <alignment vertical="center" wrapText="1"/>
    </xf>
    <xf numFmtId="166" fontId="31" fillId="9" borderId="34" xfId="0" applyNumberFormat="1" applyFont="1" applyFill="1" applyBorder="1" applyAlignment="1">
      <alignment vertical="center" wrapText="1"/>
    </xf>
    <xf numFmtId="166" fontId="0" fillId="9" borderId="0" xfId="0" applyNumberFormat="1" applyFill="1"/>
    <xf numFmtId="166" fontId="0" fillId="9" borderId="36" xfId="0" applyNumberFormat="1" applyFill="1" applyBorder="1"/>
    <xf numFmtId="166" fontId="0" fillId="9" borderId="35" xfId="0" applyNumberFormat="1" applyFill="1" applyBorder="1"/>
    <xf numFmtId="166" fontId="0" fillId="9" borderId="37" xfId="0" applyNumberFormat="1" applyFill="1" applyBorder="1"/>
    <xf numFmtId="1" fontId="26" fillId="10" borderId="34" xfId="0" applyNumberFormat="1" applyFont="1" applyFill="1" applyBorder="1" applyAlignment="1">
      <alignment horizontal="center" vertical="center" wrapText="1"/>
    </xf>
    <xf numFmtId="166" fontId="0" fillId="2" borderId="0" xfId="0" applyNumberFormat="1" applyFill="1"/>
    <xf numFmtId="1" fontId="0" fillId="2" borderId="0" xfId="0" applyNumberFormat="1" applyFill="1" applyAlignment="1">
      <alignment horizontal="center"/>
    </xf>
    <xf numFmtId="3" fontId="0" fillId="2" borderId="16" xfId="0" applyNumberFormat="1" applyFill="1" applyBorder="1"/>
    <xf numFmtId="2" fontId="0" fillId="2" borderId="17" xfId="0" applyNumberFormat="1" applyFill="1" applyBorder="1" applyAlignment="1">
      <alignment horizontal="right"/>
    </xf>
    <xf numFmtId="1" fontId="0" fillId="2" borderId="26" xfId="0" applyNumberFormat="1" applyFill="1" applyBorder="1" applyAlignment="1">
      <alignment horizontal="left"/>
    </xf>
    <xf numFmtId="3" fontId="0" fillId="2" borderId="26" xfId="0" applyNumberFormat="1" applyFill="1" applyBorder="1"/>
    <xf numFmtId="0" fontId="0" fillId="2" borderId="18" xfId="0" applyFill="1" applyBorder="1"/>
    <xf numFmtId="2" fontId="0" fillId="2" borderId="0" xfId="0" applyNumberFormat="1" applyFill="1" applyBorder="1" applyAlignment="1">
      <alignment horizontal="right"/>
    </xf>
    <xf numFmtId="1" fontId="0" fillId="2" borderId="27" xfId="0" applyNumberFormat="1" applyFill="1" applyBorder="1" applyAlignment="1">
      <alignment horizontal="left"/>
    </xf>
    <xf numFmtId="3" fontId="0" fillId="2" borderId="27" xfId="0" applyNumberFormat="1" applyFill="1" applyBorder="1"/>
    <xf numFmtId="2" fontId="0" fillId="2" borderId="0" xfId="0" applyNumberFormat="1" applyFill="1"/>
    <xf numFmtId="3" fontId="0" fillId="2" borderId="16" xfId="0" applyNumberFormat="1" applyFill="1" applyBorder="1" applyAlignment="1">
      <alignment horizontal="right"/>
    </xf>
    <xf numFmtId="1" fontId="0" fillId="2" borderId="26" xfId="0" applyNumberFormat="1" applyFill="1" applyBorder="1" applyAlignment="1">
      <alignment horizontal="center"/>
    </xf>
    <xf numFmtId="3" fontId="0" fillId="2" borderId="26" xfId="0" applyNumberFormat="1" applyFill="1" applyBorder="1" applyAlignment="1">
      <alignment horizontal="center"/>
    </xf>
    <xf numFmtId="0" fontId="0" fillId="2" borderId="19" xfId="0" applyFill="1" applyBorder="1"/>
    <xf numFmtId="0" fontId="0" fillId="2" borderId="20" xfId="0" applyFill="1" applyBorder="1" applyAlignment="1">
      <alignment horizontal="right"/>
    </xf>
    <xf numFmtId="0" fontId="0" fillId="2" borderId="12" xfId="0" applyFill="1" applyBorder="1" applyAlignment="1">
      <alignment horizontal="left"/>
    </xf>
    <xf numFmtId="2" fontId="0" fillId="2" borderId="12" xfId="0" applyNumberFormat="1" applyFill="1" applyBorder="1"/>
    <xf numFmtId="3" fontId="0" fillId="2" borderId="19" xfId="0" applyNumberFormat="1" applyFill="1" applyBorder="1" applyAlignment="1">
      <alignment horizontal="right"/>
    </xf>
    <xf numFmtId="1" fontId="0" fillId="2" borderId="12" xfId="0" applyNumberFormat="1" applyFill="1" applyBorder="1" applyAlignment="1">
      <alignment horizontal="center"/>
    </xf>
    <xf numFmtId="3" fontId="0" fillId="2" borderId="18" xfId="0" applyNumberFormat="1" applyFill="1" applyBorder="1"/>
    <xf numFmtId="3" fontId="0" fillId="2" borderId="15" xfId="0" applyNumberFormat="1" applyFill="1" applyBorder="1" applyAlignment="1">
      <alignment horizontal="center"/>
    </xf>
    <xf numFmtId="3" fontId="0" fillId="2" borderId="17" xfId="0" applyNumberFormat="1" applyFill="1" applyBorder="1" applyAlignment="1">
      <alignment horizontal="center"/>
    </xf>
    <xf numFmtId="2" fontId="0" fillId="2" borderId="21" xfId="0" applyNumberFormat="1" applyFill="1" applyBorder="1" applyAlignment="1">
      <alignment horizontal="center"/>
    </xf>
    <xf numFmtId="2" fontId="0" fillId="2" borderId="0" xfId="0" applyNumberFormat="1" applyFill="1" applyBorder="1" applyAlignment="1">
      <alignment horizontal="center"/>
    </xf>
    <xf numFmtId="2" fontId="0" fillId="2" borderId="27" xfId="0" applyNumberForma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3" fontId="0" fillId="2" borderId="14" xfId="0" applyNumberFormat="1" applyFill="1" applyBorder="1" applyAlignment="1">
      <alignment horizontal="center"/>
    </xf>
    <xf numFmtId="3" fontId="0" fillId="2" borderId="20" xfId="0" applyNumberFormat="1" applyFill="1" applyBorder="1" applyAlignment="1">
      <alignment horizontal="center"/>
    </xf>
    <xf numFmtId="3" fontId="0" fillId="2" borderId="12" xfId="0" applyNumberFormat="1" applyFill="1" applyBorder="1" applyAlignment="1">
      <alignment horizontal="center"/>
    </xf>
    <xf numFmtId="3" fontId="0" fillId="2" borderId="29" xfId="0" applyNumberFormat="1" applyFill="1" applyBorder="1" applyAlignment="1">
      <alignment horizontal="center"/>
    </xf>
    <xf numFmtId="1" fontId="0" fillId="2" borderId="21" xfId="0" applyNumberFormat="1" applyFill="1" applyBorder="1" applyAlignment="1">
      <alignment horizontal="center"/>
    </xf>
    <xf numFmtId="3" fontId="0" fillId="2" borderId="0" xfId="0" applyNumberFormat="1" applyFill="1" applyBorder="1" applyAlignment="1">
      <alignment horizontal="center"/>
    </xf>
    <xf numFmtId="4" fontId="0" fillId="2" borderId="0" xfId="0" applyNumberFormat="1" applyFill="1" applyBorder="1" applyAlignment="1">
      <alignment horizontal="center"/>
    </xf>
    <xf numFmtId="169" fontId="0" fillId="2" borderId="27" xfId="0" applyNumberFormat="1" applyFill="1" applyBorder="1" applyAlignment="1">
      <alignment horizontal="center"/>
    </xf>
    <xf numFmtId="3" fontId="0" fillId="2" borderId="27" xfId="0" applyNumberFormat="1" applyFill="1" applyBorder="1" applyAlignment="1">
      <alignment horizontal="center"/>
    </xf>
    <xf numFmtId="1" fontId="0" fillId="2" borderId="14" xfId="0" applyNumberFormat="1" applyFill="1" applyBorder="1" applyAlignment="1">
      <alignment horizontal="center"/>
    </xf>
    <xf numFmtId="4" fontId="0" fillId="2" borderId="20" xfId="0" applyNumberFormat="1" applyFill="1" applyBorder="1" applyAlignment="1">
      <alignment horizontal="center"/>
    </xf>
    <xf numFmtId="169" fontId="0" fillId="2" borderId="12" xfId="0" applyNumberFormat="1" applyFill="1" applyBorder="1" applyAlignment="1">
      <alignment horizontal="center"/>
    </xf>
    <xf numFmtId="3" fontId="0" fillId="8" borderId="1" xfId="0" applyNumberFormat="1" applyFill="1" applyBorder="1" applyAlignment="1">
      <alignment horizontal="center"/>
    </xf>
    <xf numFmtId="1" fontId="0" fillId="8" borderId="1" xfId="0" applyNumberFormat="1" applyFill="1" applyBorder="1" applyAlignment="1">
      <alignment horizontal="center"/>
    </xf>
    <xf numFmtId="3" fontId="20" fillId="2" borderId="0" xfId="0" applyNumberFormat="1" applyFont="1" applyFill="1"/>
    <xf numFmtId="0" fontId="0" fillId="2" borderId="0" xfId="0" applyFont="1" applyFill="1" applyBorder="1" applyAlignment="1">
      <alignment vertical="top"/>
    </xf>
    <xf numFmtId="0" fontId="0" fillId="2" borderId="0" xfId="0" applyFont="1" applyFill="1" applyBorder="1" applyAlignment="1">
      <alignment horizontal="center" vertical="top" wrapText="1"/>
    </xf>
    <xf numFmtId="3" fontId="0" fillId="2" borderId="0" xfId="0" applyNumberFormat="1" applyFont="1" applyFill="1" applyBorder="1" applyAlignment="1">
      <alignment horizontal="center" vertical="top" wrapText="1"/>
    </xf>
    <xf numFmtId="0" fontId="0" fillId="2" borderId="17" xfId="0" applyFont="1" applyFill="1" applyBorder="1" applyAlignment="1">
      <alignment horizontal="center" vertical="top" wrapText="1"/>
    </xf>
    <xf numFmtId="0" fontId="0" fillId="2" borderId="26" xfId="0" applyFont="1" applyFill="1" applyBorder="1" applyAlignment="1">
      <alignment horizontal="center" vertical="top" wrapText="1"/>
    </xf>
    <xf numFmtId="3" fontId="0" fillId="2" borderId="27" xfId="0" applyNumberFormat="1" applyFont="1" applyFill="1" applyBorder="1" applyAlignment="1">
      <alignment horizontal="center" vertical="top" wrapText="1"/>
    </xf>
    <xf numFmtId="0" fontId="0" fillId="11" borderId="27" xfId="0" applyFont="1" applyFill="1" applyBorder="1" applyAlignment="1">
      <alignment horizontal="center" vertical="top" wrapText="1"/>
    </xf>
    <xf numFmtId="3" fontId="0" fillId="2" borderId="20" xfId="0" applyNumberFormat="1" applyFont="1" applyFill="1" applyBorder="1" applyAlignment="1">
      <alignment horizontal="center" vertical="top" wrapText="1"/>
    </xf>
    <xf numFmtId="0" fontId="0" fillId="2" borderId="20" xfId="0" applyFont="1" applyFill="1" applyBorder="1" applyAlignment="1">
      <alignment horizontal="center" vertical="top" wrapText="1"/>
    </xf>
    <xf numFmtId="0" fontId="0" fillId="11" borderId="20" xfId="0" applyFont="1" applyFill="1" applyBorder="1" applyAlignment="1">
      <alignment horizontal="center" vertical="top" wrapText="1"/>
    </xf>
    <xf numFmtId="0" fontId="0" fillId="11" borderId="12" xfId="0" applyFont="1" applyFill="1" applyBorder="1" applyAlignment="1">
      <alignment horizontal="center" vertical="top" wrapText="1"/>
    </xf>
    <xf numFmtId="0" fontId="0" fillId="2" borderId="12" xfId="0" applyFont="1" applyFill="1" applyBorder="1" applyAlignment="1">
      <alignment horizontal="center" vertical="top" wrapText="1"/>
    </xf>
    <xf numFmtId="0" fontId="0" fillId="2" borderId="15" xfId="0" applyFont="1" applyFill="1" applyBorder="1" applyAlignment="1">
      <alignment horizontal="center" vertical="top" wrapText="1"/>
    </xf>
    <xf numFmtId="0" fontId="0" fillId="2" borderId="14" xfId="0" applyFont="1" applyFill="1" applyBorder="1" applyAlignment="1">
      <alignment horizontal="center" vertical="top" wrapText="1"/>
    </xf>
    <xf numFmtId="0" fontId="35" fillId="2" borderId="21" xfId="0" applyFont="1" applyFill="1" applyBorder="1" applyAlignment="1">
      <alignment horizontal="center" vertical="top" wrapText="1"/>
    </xf>
    <xf numFmtId="0" fontId="35" fillId="2" borderId="14" xfId="0" applyFont="1" applyFill="1" applyBorder="1" applyAlignment="1">
      <alignment horizontal="center" vertical="top" wrapText="1"/>
    </xf>
    <xf numFmtId="9" fontId="0" fillId="2" borderId="14" xfId="0" applyNumberFormat="1" applyFont="1" applyFill="1" applyBorder="1" applyAlignment="1">
      <alignment horizontal="center" vertical="top" wrapText="1"/>
    </xf>
    <xf numFmtId="9" fontId="0" fillId="2" borderId="12" xfId="0" applyNumberFormat="1" applyFont="1" applyFill="1" applyBorder="1" applyAlignment="1">
      <alignment horizontal="center" vertical="top" wrapText="1"/>
    </xf>
    <xf numFmtId="0" fontId="36" fillId="2" borderId="0" xfId="0" applyFont="1" applyFill="1" applyAlignment="1">
      <alignment horizontal="left" vertical="center" indent="1"/>
    </xf>
    <xf numFmtId="3" fontId="12" fillId="8" borderId="1" xfId="0" applyNumberFormat="1" applyFont="1" applyFill="1" applyBorder="1" applyAlignment="1" applyProtection="1">
      <alignment horizontal="center"/>
    </xf>
    <xf numFmtId="3" fontId="12" fillId="2" borderId="0" xfId="0" applyNumberFormat="1" applyFont="1" applyFill="1" applyAlignment="1">
      <alignment horizontal="center"/>
    </xf>
    <xf numFmtId="3" fontId="0" fillId="2" borderId="0" xfId="0" applyNumberFormat="1" applyFill="1" applyAlignment="1">
      <alignment horizontal="centerContinuous"/>
    </xf>
    <xf numFmtId="3" fontId="0" fillId="2" borderId="13" xfId="0" applyNumberFormat="1" applyFill="1" applyBorder="1" applyAlignment="1"/>
    <xf numFmtId="3" fontId="0" fillId="2" borderId="28" xfId="0" applyNumberFormat="1" applyFill="1" applyBorder="1" applyAlignment="1">
      <alignment horizontal="right"/>
    </xf>
    <xf numFmtId="1" fontId="12" fillId="2" borderId="29" xfId="7" applyNumberFormat="1" applyFont="1" applyFill="1" applyBorder="1" applyAlignment="1">
      <alignment horizontal="left"/>
    </xf>
    <xf numFmtId="3" fontId="12" fillId="2" borderId="29" xfId="4" applyNumberFormat="1" applyFont="1" applyFill="1" applyBorder="1" applyAlignment="1">
      <alignment horizontal="center"/>
    </xf>
    <xf numFmtId="3" fontId="5" fillId="2" borderId="0" xfId="4" applyNumberFormat="1" applyFont="1" applyFill="1" applyBorder="1" applyAlignment="1">
      <alignment horizontal="center"/>
    </xf>
    <xf numFmtId="0" fontId="16" fillId="2" borderId="13" xfId="0" applyFont="1" applyFill="1" applyBorder="1" applyAlignment="1">
      <alignment horizontal="centerContinuous"/>
    </xf>
    <xf numFmtId="0" fontId="16" fillId="2" borderId="28" xfId="0" applyFont="1" applyFill="1" applyBorder="1" applyAlignment="1">
      <alignment horizontal="centerContinuous"/>
    </xf>
    <xf numFmtId="0" fontId="16" fillId="2" borderId="29" xfId="0" applyFont="1" applyFill="1" applyBorder="1" applyAlignment="1">
      <alignment horizontal="centerContinuous"/>
    </xf>
    <xf numFmtId="0" fontId="0" fillId="2" borderId="1" xfId="0" applyFill="1" applyBorder="1" applyAlignment="1">
      <alignment horizontal="center"/>
    </xf>
    <xf numFmtId="3" fontId="0" fillId="2" borderId="17" xfId="0" quotePrefix="1" applyNumberFormat="1" applyFill="1" applyBorder="1"/>
    <xf numFmtId="4" fontId="0" fillId="2" borderId="26" xfId="0" applyNumberFormat="1" applyFill="1" applyBorder="1" applyAlignment="1">
      <alignment horizontal="center"/>
    </xf>
    <xf numFmtId="3" fontId="0" fillId="2" borderId="0" xfId="0" quotePrefix="1" applyNumberFormat="1" applyFill="1" applyBorder="1"/>
    <xf numFmtId="4" fontId="0" fillId="2" borderId="27" xfId="0" applyNumberFormat="1" applyFill="1" applyBorder="1" applyAlignment="1">
      <alignment horizontal="center"/>
    </xf>
    <xf numFmtId="3" fontId="0" fillId="2" borderId="19" xfId="0" applyNumberFormat="1" applyFill="1" applyBorder="1"/>
    <xf numFmtId="3" fontId="0" fillId="2" borderId="20" xfId="0" quotePrefix="1" applyNumberFormat="1" applyFill="1" applyBorder="1"/>
    <xf numFmtId="3" fontId="0" fillId="2" borderId="12" xfId="0" applyNumberFormat="1" applyFill="1" applyBorder="1"/>
    <xf numFmtId="4" fontId="0" fillId="2" borderId="12" xfId="0" applyNumberFormat="1" applyFill="1" applyBorder="1" applyAlignment="1">
      <alignment horizontal="center"/>
    </xf>
    <xf numFmtId="3" fontId="0" fillId="2" borderId="15" xfId="0" applyNumberFormat="1" applyFill="1" applyBorder="1"/>
    <xf numFmtId="3" fontId="0" fillId="2" borderId="17" xfId="0" applyNumberFormat="1" applyFill="1" applyBorder="1" applyAlignment="1">
      <alignment horizontal="centerContinuous"/>
    </xf>
    <xf numFmtId="3" fontId="0" fillId="2" borderId="26" xfId="0" applyNumberFormat="1" applyFill="1" applyBorder="1" applyAlignment="1">
      <alignment horizontal="centerContinuous"/>
    </xf>
    <xf numFmtId="2" fontId="0" fillId="2" borderId="14" xfId="0" applyNumberFormat="1" applyFill="1" applyBorder="1" applyAlignment="1">
      <alignment horizontal="center"/>
    </xf>
    <xf numFmtId="1" fontId="0" fillId="2" borderId="20" xfId="0" applyNumberFormat="1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3" fontId="0" fillId="2" borderId="17" xfId="0" applyNumberFormat="1" applyFont="1" applyFill="1" applyBorder="1" applyAlignment="1">
      <alignment horizontal="centerContinuous"/>
    </xf>
    <xf numFmtId="0" fontId="12" fillId="8" borderId="1" xfId="0" applyFont="1" applyFill="1" applyBorder="1" applyAlignment="1" applyProtection="1">
      <alignment horizontal="center"/>
    </xf>
    <xf numFmtId="3" fontId="0" fillId="2" borderId="13" xfId="0" applyNumberFormat="1" applyFill="1" applyBorder="1"/>
    <xf numFmtId="3" fontId="0" fillId="2" borderId="28" xfId="0" applyNumberFormat="1" applyFill="1" applyBorder="1"/>
    <xf numFmtId="3" fontId="0" fillId="2" borderId="29" xfId="0" applyNumberFormat="1" applyFill="1" applyBorder="1"/>
    <xf numFmtId="164" fontId="0" fillId="2" borderId="29" xfId="1" applyNumberFormat="1" applyFont="1" applyFill="1" applyBorder="1" applyAlignment="1">
      <alignment horizontal="center"/>
    </xf>
    <xf numFmtId="167" fontId="0" fillId="2" borderId="0" xfId="0" applyNumberFormat="1" applyFill="1" applyBorder="1" applyAlignment="1">
      <alignment horizontal="center"/>
    </xf>
    <xf numFmtId="167" fontId="34" fillId="2" borderId="27" xfId="0" applyNumberFormat="1" applyFont="1" applyFill="1" applyBorder="1" applyAlignment="1">
      <alignment horizontal="center"/>
    </xf>
    <xf numFmtId="167" fontId="1" fillId="2" borderId="0" xfId="8" applyNumberFormat="1" applyFill="1" applyBorder="1" applyAlignment="1">
      <alignment horizontal="center"/>
    </xf>
    <xf numFmtId="167" fontId="34" fillId="2" borderId="0" xfId="0" applyNumberFormat="1" applyFont="1" applyFill="1" applyBorder="1" applyAlignment="1">
      <alignment horizontal="center"/>
    </xf>
    <xf numFmtId="167" fontId="0" fillId="2" borderId="27" xfId="0" applyNumberFormat="1" applyFill="1" applyBorder="1" applyAlignment="1">
      <alignment horizontal="center"/>
    </xf>
    <xf numFmtId="167" fontId="34" fillId="2" borderId="20" xfId="0" applyNumberFormat="1" applyFont="1" applyFill="1" applyBorder="1" applyAlignment="1">
      <alignment horizontal="center"/>
    </xf>
    <xf numFmtId="167" fontId="0" fillId="2" borderId="20" xfId="0" applyNumberFormat="1" applyFill="1" applyBorder="1" applyAlignment="1">
      <alignment horizontal="center"/>
    </xf>
    <xf numFmtId="167" fontId="0" fillId="2" borderId="12" xfId="0" applyNumberFormat="1" applyFill="1" applyBorder="1" applyAlignment="1">
      <alignment horizontal="center"/>
    </xf>
    <xf numFmtId="0" fontId="33" fillId="2" borderId="0" xfId="0" applyFont="1" applyFill="1" applyBorder="1" applyProtection="1"/>
    <xf numFmtId="0" fontId="12" fillId="2" borderId="12" xfId="0" applyFont="1" applyFill="1" applyBorder="1" applyAlignment="1" applyProtection="1">
      <alignment horizontal="center"/>
    </xf>
    <xf numFmtId="0" fontId="12" fillId="2" borderId="29" xfId="0" applyFont="1" applyFill="1" applyBorder="1" applyAlignment="1" applyProtection="1">
      <alignment horizontal="center"/>
    </xf>
    <xf numFmtId="0" fontId="12" fillId="2" borderId="1" xfId="0" applyFont="1" applyFill="1" applyBorder="1" applyAlignment="1" applyProtection="1">
      <alignment horizontal="center"/>
    </xf>
    <xf numFmtId="0" fontId="12" fillId="2" borderId="14" xfId="0" applyFont="1" applyFill="1" applyBorder="1" applyAlignment="1" applyProtection="1">
      <alignment horizontal="center"/>
    </xf>
    <xf numFmtId="0" fontId="26" fillId="10" borderId="38" xfId="0" applyFont="1" applyFill="1" applyBorder="1" applyAlignment="1">
      <alignment horizontal="center" vertical="center"/>
    </xf>
    <xf numFmtId="0" fontId="26" fillId="10" borderId="39" xfId="0" applyFont="1" applyFill="1" applyBorder="1" applyAlignment="1">
      <alignment horizontal="center" vertical="center"/>
    </xf>
    <xf numFmtId="0" fontId="26" fillId="9" borderId="34" xfId="0" applyFont="1" applyFill="1" applyBorder="1" applyAlignment="1">
      <alignment vertical="center"/>
    </xf>
    <xf numFmtId="3" fontId="18" fillId="9" borderId="34" xfId="0" applyNumberFormat="1" applyFont="1" applyFill="1" applyBorder="1" applyAlignment="1">
      <alignment vertical="center"/>
    </xf>
    <xf numFmtId="3" fontId="18" fillId="12" borderId="34" xfId="0" applyNumberFormat="1" applyFont="1" applyFill="1" applyBorder="1" applyAlignment="1">
      <alignment vertical="center"/>
    </xf>
    <xf numFmtId="3" fontId="0" fillId="2" borderId="13" xfId="0" applyNumberFormat="1" applyFill="1" applyBorder="1" applyAlignment="1">
      <alignment horizontal="center"/>
    </xf>
    <xf numFmtId="3" fontId="0" fillId="2" borderId="28" xfId="0" applyNumberFormat="1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3" fontId="12" fillId="8" borderId="28" xfId="7" applyNumberFormat="1" applyFont="1" applyFill="1" applyBorder="1" applyAlignment="1">
      <alignment horizontal="center"/>
    </xf>
    <xf numFmtId="3" fontId="12" fillId="8" borderId="29" xfId="4" applyNumberFormat="1" applyFont="1" applyFill="1" applyBorder="1" applyAlignment="1">
      <alignment horizontal="center"/>
    </xf>
    <xf numFmtId="0" fontId="0" fillId="2" borderId="0" xfId="0" applyFill="1" applyAlignment="1">
      <alignment horizontal="centerContinuous"/>
    </xf>
    <xf numFmtId="0" fontId="0" fillId="2" borderId="0" xfId="0" applyFill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3" fontId="0" fillId="2" borderId="0" xfId="1" applyNumberFormat="1" applyFont="1" applyFill="1" applyAlignment="1">
      <alignment horizontal="center"/>
    </xf>
    <xf numFmtId="10" fontId="0" fillId="2" borderId="0" xfId="1" applyNumberFormat="1" applyFont="1" applyFill="1" applyAlignment="1">
      <alignment horizontal="center"/>
    </xf>
    <xf numFmtId="0" fontId="0" fillId="2" borderId="20" xfId="0" quotePrefix="1" applyFill="1" applyBorder="1" applyAlignment="1">
      <alignment horizontal="center"/>
    </xf>
    <xf numFmtId="0" fontId="20" fillId="2" borderId="0" xfId="0" applyFont="1" applyFill="1"/>
    <xf numFmtId="170" fontId="0" fillId="2" borderId="0" xfId="9" applyNumberFormat="1" applyFont="1" applyFill="1" applyAlignment="1">
      <alignment horizontal="center"/>
    </xf>
    <xf numFmtId="0" fontId="40" fillId="2" borderId="13" xfId="4" applyFont="1" applyFill="1" applyBorder="1"/>
    <xf numFmtId="0" fontId="11" fillId="2" borderId="28" xfId="4" applyFont="1" applyFill="1" applyBorder="1"/>
    <xf numFmtId="164" fontId="11" fillId="2" borderId="28" xfId="4" applyNumberFormat="1" applyFont="1" applyFill="1" applyBorder="1"/>
    <xf numFmtId="0" fontId="11" fillId="2" borderId="29" xfId="4" applyFont="1" applyFill="1" applyBorder="1"/>
    <xf numFmtId="0" fontId="0" fillId="8" borderId="13" xfId="0" applyFill="1" applyBorder="1" applyAlignment="1">
      <alignment horizontal="centerContinuous"/>
    </xf>
    <xf numFmtId="0" fontId="0" fillId="8" borderId="29" xfId="0" applyFont="1" applyFill="1" applyBorder="1" applyAlignment="1">
      <alignment horizontal="centerContinuous"/>
    </xf>
    <xf numFmtId="0" fontId="0" fillId="8" borderId="1" xfId="0" applyFill="1" applyBorder="1" applyAlignment="1">
      <alignment horizontal="center"/>
    </xf>
    <xf numFmtId="3" fontId="0" fillId="2" borderId="16" xfId="0" applyNumberFormat="1" applyFont="1" applyFill="1" applyBorder="1" applyAlignment="1">
      <alignment horizontal="right"/>
    </xf>
    <xf numFmtId="3" fontId="16" fillId="2" borderId="26" xfId="0" applyNumberFormat="1" applyFont="1" applyFill="1" applyBorder="1" applyAlignment="1">
      <alignment horizontal="right"/>
    </xf>
    <xf numFmtId="3" fontId="0" fillId="2" borderId="19" xfId="0" applyNumberFormat="1" applyFont="1" applyFill="1" applyBorder="1" applyAlignment="1">
      <alignment horizontal="right"/>
    </xf>
    <xf numFmtId="3" fontId="16" fillId="2" borderId="12" xfId="0" applyNumberFormat="1" applyFont="1" applyFill="1" applyBorder="1" applyAlignment="1">
      <alignment horizontal="right"/>
    </xf>
    <xf numFmtId="9" fontId="0" fillId="2" borderId="14" xfId="1" applyFont="1" applyFill="1" applyBorder="1"/>
    <xf numFmtId="9" fontId="0" fillId="2" borderId="15" xfId="1" applyFont="1" applyFill="1" applyBorder="1"/>
    <xf numFmtId="3" fontId="0" fillId="2" borderId="12" xfId="1" applyNumberFormat="1" applyFont="1" applyFill="1" applyBorder="1"/>
    <xf numFmtId="0" fontId="2" fillId="0" borderId="15" xfId="0" applyFont="1" applyBorder="1" applyAlignment="1">
      <alignment horizontal="center" wrapText="1"/>
    </xf>
    <xf numFmtId="0" fontId="2" fillId="0" borderId="14" xfId="0" applyFont="1" applyBorder="1" applyAlignment="1">
      <alignment horizontal="center" wrapText="1"/>
    </xf>
    <xf numFmtId="0" fontId="7" fillId="2" borderId="4" xfId="2" quotePrefix="1" applyFont="1" applyFill="1" applyBorder="1" applyAlignment="1" applyProtection="1">
      <alignment horizontal="right"/>
    </xf>
    <xf numFmtId="0" fontId="7" fillId="0" borderId="5" xfId="2" applyFont="1" applyBorder="1" applyAlignment="1">
      <alignment horizontal="right"/>
    </xf>
    <xf numFmtId="0" fontId="7" fillId="2" borderId="5" xfId="2" quotePrefix="1" applyFont="1" applyFill="1" applyBorder="1" applyAlignment="1" applyProtection="1">
      <alignment horizontal="right"/>
    </xf>
  </cellXfs>
  <cellStyles count="10">
    <cellStyle name="40% - Accent1" xfId="8" builtinId="31"/>
    <cellStyle name="Bad" xfId="5" builtinId="27"/>
    <cellStyle name="Comma" xfId="9" builtinId="3"/>
    <cellStyle name="Currency" xfId="6" builtinId="4"/>
    <cellStyle name="Good" xfId="4" builtinId="26"/>
    <cellStyle name="Hyperlink" xfId="2" builtinId="8"/>
    <cellStyle name="Neutral" xfId="7" builtinId="28"/>
    <cellStyle name="Normal" xfId="0" builtinId="0"/>
    <cellStyle name="Normal 2" xfId="3"/>
    <cellStyle name="Percent" xfId="1" builtinId="5"/>
  </cellStyles>
  <dxfs count="102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390525</xdr:colOff>
      <xdr:row>0</xdr:row>
      <xdr:rowOff>0</xdr:rowOff>
    </xdr:from>
    <xdr:to>
      <xdr:col>9</xdr:col>
      <xdr:colOff>111972</xdr:colOff>
      <xdr:row>4</xdr:row>
      <xdr:rowOff>32174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9325" y="0"/>
          <a:ext cx="3379047" cy="7941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6</xdr:col>
      <xdr:colOff>189230</xdr:colOff>
      <xdr:row>4</xdr:row>
      <xdr:rowOff>17569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3322955" cy="77956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201084</xdr:colOff>
      <xdr:row>26</xdr:row>
      <xdr:rowOff>85725</xdr:rowOff>
    </xdr:from>
    <xdr:to>
      <xdr:col>8</xdr:col>
      <xdr:colOff>628650</xdr:colOff>
      <xdr:row>29</xdr:row>
      <xdr:rowOff>74084</xdr:rowOff>
    </xdr:to>
    <xdr:cxnSp macro="">
      <xdr:nvCxnSpPr>
        <xdr:cNvPr id="2" name="Straight Connector 1"/>
        <xdr:cNvCxnSpPr/>
      </xdr:nvCxnSpPr>
      <xdr:spPr>
        <a:xfrm flipV="1">
          <a:off x="4849284" y="5057775"/>
          <a:ext cx="1913466" cy="559859"/>
        </a:xfrm>
        <a:prstGeom prst="line">
          <a:avLst/>
        </a:prstGeom>
        <a:ln w="571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190500</xdr:colOff>
      <xdr:row>33</xdr:row>
      <xdr:rowOff>105833</xdr:rowOff>
    </xdr:from>
    <xdr:to>
      <xdr:col>9</xdr:col>
      <xdr:colOff>21167</xdr:colOff>
      <xdr:row>33</xdr:row>
      <xdr:rowOff>158751</xdr:rowOff>
    </xdr:to>
    <xdr:cxnSp macro="">
      <xdr:nvCxnSpPr>
        <xdr:cNvPr id="3" name="Straight Connector 2"/>
        <xdr:cNvCxnSpPr/>
      </xdr:nvCxnSpPr>
      <xdr:spPr>
        <a:xfrm flipV="1">
          <a:off x="4267200" y="6201833"/>
          <a:ext cx="1659467" cy="52918"/>
        </a:xfrm>
        <a:prstGeom prst="line">
          <a:avLst/>
        </a:prstGeom>
        <a:ln w="571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74084</xdr:colOff>
      <xdr:row>38</xdr:row>
      <xdr:rowOff>95250</xdr:rowOff>
    </xdr:from>
    <xdr:to>
      <xdr:col>10</xdr:col>
      <xdr:colOff>296334</xdr:colOff>
      <xdr:row>38</xdr:row>
      <xdr:rowOff>105834</xdr:rowOff>
    </xdr:to>
    <xdr:cxnSp macro="">
      <xdr:nvCxnSpPr>
        <xdr:cNvPr id="4" name="Straight Connector 3"/>
        <xdr:cNvCxnSpPr/>
      </xdr:nvCxnSpPr>
      <xdr:spPr>
        <a:xfrm flipV="1">
          <a:off x="5369984" y="7143750"/>
          <a:ext cx="831850" cy="10584"/>
        </a:xfrm>
        <a:prstGeom prst="line">
          <a:avLst/>
        </a:prstGeom>
        <a:ln w="571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201084</xdr:colOff>
      <xdr:row>44</xdr:row>
      <xdr:rowOff>133350</xdr:rowOff>
    </xdr:from>
    <xdr:to>
      <xdr:col>8</xdr:col>
      <xdr:colOff>657225</xdr:colOff>
      <xdr:row>48</xdr:row>
      <xdr:rowOff>137587</xdr:rowOff>
    </xdr:to>
    <xdr:cxnSp macro="">
      <xdr:nvCxnSpPr>
        <xdr:cNvPr id="5" name="Straight Connector 4"/>
        <xdr:cNvCxnSpPr/>
      </xdr:nvCxnSpPr>
      <xdr:spPr>
        <a:xfrm flipV="1">
          <a:off x="4849284" y="8534400"/>
          <a:ext cx="1942041" cy="766237"/>
        </a:xfrm>
        <a:prstGeom prst="line">
          <a:avLst/>
        </a:prstGeom>
        <a:ln w="571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293158</xdr:colOff>
      <xdr:row>47</xdr:row>
      <xdr:rowOff>9525</xdr:rowOff>
    </xdr:from>
    <xdr:to>
      <xdr:col>9</xdr:col>
      <xdr:colOff>133350</xdr:colOff>
      <xdr:row>50</xdr:row>
      <xdr:rowOff>81494</xdr:rowOff>
    </xdr:to>
    <xdr:cxnSp macro="">
      <xdr:nvCxnSpPr>
        <xdr:cNvPr id="6" name="Straight Connector 5"/>
        <xdr:cNvCxnSpPr/>
      </xdr:nvCxnSpPr>
      <xdr:spPr>
        <a:xfrm flipV="1">
          <a:off x="4941358" y="8982075"/>
          <a:ext cx="2069042" cy="643469"/>
        </a:xfrm>
        <a:prstGeom prst="line">
          <a:avLst/>
        </a:prstGeom>
        <a:ln w="571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74084</xdr:colOff>
      <xdr:row>57</xdr:row>
      <xdr:rowOff>95250</xdr:rowOff>
    </xdr:from>
    <xdr:to>
      <xdr:col>10</xdr:col>
      <xdr:colOff>296334</xdr:colOff>
      <xdr:row>57</xdr:row>
      <xdr:rowOff>105834</xdr:rowOff>
    </xdr:to>
    <xdr:cxnSp macro="">
      <xdr:nvCxnSpPr>
        <xdr:cNvPr id="7" name="Straight Connector 6"/>
        <xdr:cNvCxnSpPr/>
      </xdr:nvCxnSpPr>
      <xdr:spPr>
        <a:xfrm flipV="1">
          <a:off x="5369984" y="10915650"/>
          <a:ext cx="831850" cy="10584"/>
        </a:xfrm>
        <a:prstGeom prst="line">
          <a:avLst/>
        </a:prstGeom>
        <a:ln w="571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497417</xdr:colOff>
      <xdr:row>53</xdr:row>
      <xdr:rowOff>158751</xdr:rowOff>
    </xdr:from>
    <xdr:to>
      <xdr:col>21</xdr:col>
      <xdr:colOff>560917</xdr:colOff>
      <xdr:row>57</xdr:row>
      <xdr:rowOff>148167</xdr:rowOff>
    </xdr:to>
    <xdr:cxnSp macro="">
      <xdr:nvCxnSpPr>
        <xdr:cNvPr id="2" name="Straight Arrow Connector 1"/>
        <xdr:cNvCxnSpPr/>
      </xdr:nvCxnSpPr>
      <xdr:spPr>
        <a:xfrm flipH="1">
          <a:off x="11889317" y="8540751"/>
          <a:ext cx="939800" cy="751416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6:M28"/>
  <sheetViews>
    <sheetView tabSelected="1" workbookViewId="0"/>
  </sheetViews>
  <sheetFormatPr defaultRowHeight="15" x14ac:dyDescent="0.25"/>
  <cols>
    <col min="1" max="11" width="9.140625" style="37"/>
    <col min="12" max="12" width="7" style="37" customWidth="1"/>
    <col min="13" max="13" width="12.42578125" style="37" customWidth="1"/>
    <col min="14" max="16384" width="9.140625" style="37"/>
  </cols>
  <sheetData>
    <row r="6" spans="1:13" ht="21" x14ac:dyDescent="0.35">
      <c r="A6" s="12" t="s">
        <v>15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</row>
    <row r="8" spans="1:13" x14ac:dyDescent="0.25">
      <c r="A8" s="37" t="s">
        <v>16</v>
      </c>
    </row>
    <row r="10" spans="1:13" x14ac:dyDescent="0.25">
      <c r="A10" s="37" t="s">
        <v>28</v>
      </c>
    </row>
    <row r="12" spans="1:13" x14ac:dyDescent="0.25">
      <c r="A12" s="37" t="s">
        <v>17</v>
      </c>
    </row>
    <row r="14" spans="1:13" x14ac:dyDescent="0.25">
      <c r="A14" s="37" t="s">
        <v>29</v>
      </c>
    </row>
    <row r="15" spans="1:13" x14ac:dyDescent="0.25">
      <c r="A15" s="37" t="s">
        <v>18</v>
      </c>
    </row>
    <row r="17" spans="1:13" x14ac:dyDescent="0.25">
      <c r="A17" s="37" t="s">
        <v>19</v>
      </c>
    </row>
    <row r="18" spans="1:13" x14ac:dyDescent="0.25">
      <c r="A18" s="37" t="s">
        <v>30</v>
      </c>
    </row>
    <row r="19" spans="1:13" x14ac:dyDescent="0.25">
      <c r="A19" s="37" t="s">
        <v>31</v>
      </c>
    </row>
    <row r="20" spans="1:13" ht="15.75" thickBot="1" x14ac:dyDescent="0.3"/>
    <row r="21" spans="1:13" ht="15.75" thickBot="1" x14ac:dyDescent="0.3">
      <c r="A21" s="37" t="s">
        <v>22</v>
      </c>
      <c r="M21" s="5"/>
    </row>
    <row r="23" spans="1:13" x14ac:dyDescent="0.25">
      <c r="A23" s="37" t="s">
        <v>32</v>
      </c>
    </row>
    <row r="25" spans="1:13" x14ac:dyDescent="0.25">
      <c r="A25" s="37" t="s">
        <v>20</v>
      </c>
    </row>
    <row r="26" spans="1:13" x14ac:dyDescent="0.25">
      <c r="A26" s="37" t="s">
        <v>21</v>
      </c>
    </row>
    <row r="27" spans="1:13" x14ac:dyDescent="0.25"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</row>
    <row r="28" spans="1:13" ht="15.75" x14ac:dyDescent="0.25">
      <c r="A28" s="13" t="s">
        <v>23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S37"/>
  <sheetViews>
    <sheetView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C8" sqref="C8"/>
    </sheetView>
  </sheetViews>
  <sheetFormatPr defaultRowHeight="15" x14ac:dyDescent="0.25"/>
  <cols>
    <col min="1" max="1" width="9.7109375" style="37" customWidth="1"/>
    <col min="2" max="2" width="10.42578125" style="37" customWidth="1"/>
    <col min="3" max="9" width="6.7109375" style="37" customWidth="1"/>
    <col min="10" max="10" width="14.140625" style="37" bestFit="1" customWidth="1"/>
    <col min="11" max="11" width="2.7109375" style="37" customWidth="1"/>
    <col min="12" max="12" width="12.7109375" style="37" customWidth="1"/>
    <col min="13" max="19" width="6.7109375" style="37" customWidth="1"/>
    <col min="20" max="26" width="9.140625" style="37"/>
    <col min="27" max="27" width="12.140625" style="37" bestFit="1" customWidth="1"/>
    <col min="28" max="28" width="12.7109375" style="37" customWidth="1"/>
    <col min="29" max="16384" width="9.140625" style="37"/>
  </cols>
  <sheetData>
    <row r="1" spans="1:19" ht="15.75" thickBot="1" x14ac:dyDescent="0.3"/>
    <row r="2" spans="1:19" ht="15" customHeight="1" thickBot="1" x14ac:dyDescent="0.3">
      <c r="L2" s="14" t="s">
        <v>25</v>
      </c>
      <c r="M2" s="29" t="str">
        <f t="array" ref="M2">IF(SUM(IF(M8:S32="",0,1))=0,"",SUM(M8:S32))</f>
        <v/>
      </c>
      <c r="O2" s="10" t="s">
        <v>14</v>
      </c>
      <c r="P2" s="6" t="str">
        <f>IF(M2="","",M2/M3)</f>
        <v/>
      </c>
    </row>
    <row r="3" spans="1:19" x14ac:dyDescent="0.25">
      <c r="L3" s="15" t="s">
        <v>26</v>
      </c>
      <c r="M3" s="30">
        <f>SUM(B8:B37)</f>
        <v>60</v>
      </c>
    </row>
    <row r="5" spans="1:19" ht="23.25" x14ac:dyDescent="0.35">
      <c r="A5" s="11" t="s">
        <v>34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</row>
    <row r="6" spans="1:19" ht="15.75" x14ac:dyDescent="0.25">
      <c r="A6" s="1"/>
      <c r="B6" s="382" t="s">
        <v>9</v>
      </c>
      <c r="C6" s="2" t="s">
        <v>1</v>
      </c>
      <c r="D6" s="2"/>
      <c r="E6" s="2"/>
      <c r="F6" s="2"/>
      <c r="G6" s="2"/>
      <c r="H6" s="2"/>
      <c r="I6" s="2"/>
      <c r="J6" s="1"/>
      <c r="L6" s="4" t="s">
        <v>11</v>
      </c>
      <c r="M6" s="2" t="s">
        <v>1</v>
      </c>
      <c r="N6" s="2"/>
      <c r="O6" s="2"/>
      <c r="P6" s="2"/>
      <c r="Q6" s="2"/>
      <c r="R6" s="2"/>
      <c r="S6" s="2"/>
    </row>
    <row r="7" spans="1:19" x14ac:dyDescent="0.25">
      <c r="A7" s="3" t="s">
        <v>0</v>
      </c>
      <c r="B7" s="383"/>
      <c r="C7" s="3" t="s">
        <v>2</v>
      </c>
      <c r="D7" s="3" t="s">
        <v>3</v>
      </c>
      <c r="E7" s="3" t="s">
        <v>4</v>
      </c>
      <c r="F7" s="3" t="s">
        <v>5</v>
      </c>
      <c r="G7" s="3" t="s">
        <v>6</v>
      </c>
      <c r="H7" s="3" t="s">
        <v>7</v>
      </c>
      <c r="I7" s="3" t="s">
        <v>8</v>
      </c>
      <c r="J7" s="3" t="s">
        <v>10</v>
      </c>
      <c r="L7" s="3" t="s">
        <v>0</v>
      </c>
      <c r="M7" s="3" t="s">
        <v>2</v>
      </c>
      <c r="N7" s="3" t="s">
        <v>3</v>
      </c>
      <c r="O7" s="3" t="s">
        <v>4</v>
      </c>
      <c r="P7" s="3" t="s">
        <v>5</v>
      </c>
      <c r="Q7" s="3" t="s">
        <v>6</v>
      </c>
      <c r="R7" s="3" t="s">
        <v>7</v>
      </c>
      <c r="S7" s="3" t="s">
        <v>8</v>
      </c>
    </row>
    <row r="8" spans="1:19" x14ac:dyDescent="0.25">
      <c r="A8" s="39">
        <v>1</v>
      </c>
      <c r="B8" s="53">
        <f>SUM(C8:I8)</f>
        <v>1</v>
      </c>
      <c r="C8" s="40">
        <v>1</v>
      </c>
      <c r="D8" s="40"/>
      <c r="E8" s="40"/>
      <c r="F8" s="40"/>
      <c r="G8" s="40"/>
      <c r="H8" s="40"/>
      <c r="I8" s="40"/>
      <c r="J8" s="41" t="str">
        <f ca="1">INDIRECT("'"&amp;A8&amp;"'!B1")</f>
        <v>Incomplete</v>
      </c>
      <c r="L8" s="39">
        <f>A8</f>
        <v>1</v>
      </c>
      <c r="M8" s="42" t="str">
        <f>IF('1'!$A$8="","",'1'!$A$8)</f>
        <v/>
      </c>
      <c r="N8" s="42"/>
      <c r="O8" s="42"/>
      <c r="P8" s="42"/>
      <c r="Q8" s="42"/>
      <c r="R8" s="42"/>
      <c r="S8" s="42"/>
    </row>
    <row r="9" spans="1:19" x14ac:dyDescent="0.25">
      <c r="A9" s="39">
        <v>2</v>
      </c>
      <c r="B9" s="48">
        <f t="shared" ref="B9:B32" si="0">SUM(C9:I9)</f>
        <v>1</v>
      </c>
      <c r="C9" s="40">
        <v>1</v>
      </c>
      <c r="D9" s="40"/>
      <c r="E9" s="40"/>
      <c r="F9" s="40"/>
      <c r="G9" s="40"/>
      <c r="H9" s="40"/>
      <c r="I9" s="40"/>
      <c r="J9" s="41" t="str">
        <f t="shared" ref="J9:J26" ca="1" si="1">INDIRECT("'"&amp;A9&amp;"'!B1")</f>
        <v>Incomplete</v>
      </c>
      <c r="L9" s="39">
        <f t="shared" ref="L9:L26" si="2">A9</f>
        <v>2</v>
      </c>
      <c r="M9" s="42" t="str">
        <f>IF('2'!$A$8="","",'2'!$A$8)</f>
        <v/>
      </c>
      <c r="N9" s="42"/>
      <c r="O9" s="42"/>
      <c r="P9" s="42"/>
      <c r="Q9" s="42"/>
      <c r="R9" s="42"/>
      <c r="S9" s="42"/>
    </row>
    <row r="10" spans="1:19" x14ac:dyDescent="0.25">
      <c r="A10" s="39">
        <v>3</v>
      </c>
      <c r="B10" s="48">
        <f t="shared" si="0"/>
        <v>1</v>
      </c>
      <c r="C10" s="40">
        <v>1</v>
      </c>
      <c r="D10" s="40"/>
      <c r="E10" s="40"/>
      <c r="F10" s="40"/>
      <c r="G10" s="40"/>
      <c r="H10" s="40"/>
      <c r="I10" s="40"/>
      <c r="J10" s="41" t="str">
        <f t="shared" ca="1" si="1"/>
        <v>Incomplete</v>
      </c>
      <c r="L10" s="39">
        <f t="shared" si="2"/>
        <v>3</v>
      </c>
      <c r="M10" s="42" t="str">
        <f>IF('3'!$A$8="","",'3'!$A$8)</f>
        <v/>
      </c>
      <c r="N10" s="42"/>
      <c r="O10" s="42"/>
      <c r="P10" s="42"/>
      <c r="Q10" s="42"/>
      <c r="R10" s="42"/>
      <c r="S10" s="42"/>
    </row>
    <row r="11" spans="1:19" x14ac:dyDescent="0.25">
      <c r="A11" s="39">
        <v>4</v>
      </c>
      <c r="B11" s="48">
        <f t="shared" si="0"/>
        <v>1</v>
      </c>
      <c r="C11" s="40">
        <v>1</v>
      </c>
      <c r="D11" s="40"/>
      <c r="E11" s="40"/>
      <c r="F11" s="40"/>
      <c r="G11" s="40"/>
      <c r="H11" s="40"/>
      <c r="I11" s="40"/>
      <c r="J11" s="41" t="str">
        <f t="shared" ca="1" si="1"/>
        <v>Incomplete</v>
      </c>
      <c r="L11" s="39">
        <f t="shared" si="2"/>
        <v>4</v>
      </c>
      <c r="M11" s="42" t="str">
        <f>IF('4'!$A$8="","",'4'!$A$8)</f>
        <v/>
      </c>
      <c r="N11" s="42"/>
      <c r="O11" s="42"/>
      <c r="P11" s="42"/>
      <c r="Q11" s="42"/>
      <c r="R11" s="42"/>
      <c r="S11" s="42"/>
    </row>
    <row r="12" spans="1:19" x14ac:dyDescent="0.25">
      <c r="A12" s="39">
        <v>5</v>
      </c>
      <c r="B12" s="48">
        <f t="shared" si="0"/>
        <v>1</v>
      </c>
      <c r="C12" s="40">
        <v>1</v>
      </c>
      <c r="D12" s="40"/>
      <c r="E12" s="40"/>
      <c r="F12" s="40"/>
      <c r="G12" s="40"/>
      <c r="H12" s="40"/>
      <c r="I12" s="40"/>
      <c r="J12" s="41" t="str">
        <f t="shared" ca="1" si="1"/>
        <v>Incomplete</v>
      </c>
      <c r="L12" s="39">
        <f t="shared" si="2"/>
        <v>5</v>
      </c>
      <c r="M12" s="42" t="str">
        <f>IF('5'!$A$8="","",'5'!$A$8)</f>
        <v/>
      </c>
      <c r="N12" s="42"/>
      <c r="O12" s="42"/>
      <c r="P12" s="42"/>
      <c r="Q12" s="42"/>
      <c r="R12" s="42"/>
      <c r="S12" s="42"/>
    </row>
    <row r="13" spans="1:19" x14ac:dyDescent="0.25">
      <c r="A13" s="39">
        <v>6</v>
      </c>
      <c r="B13" s="48">
        <f t="shared" si="0"/>
        <v>1</v>
      </c>
      <c r="C13" s="40">
        <v>1</v>
      </c>
      <c r="D13" s="40"/>
      <c r="E13" s="40"/>
      <c r="F13" s="40"/>
      <c r="G13" s="40"/>
      <c r="H13" s="40"/>
      <c r="I13" s="40"/>
      <c r="J13" s="41" t="str">
        <f t="shared" ca="1" si="1"/>
        <v>Incomplete</v>
      </c>
      <c r="L13" s="39">
        <f t="shared" si="2"/>
        <v>6</v>
      </c>
      <c r="M13" s="42" t="str">
        <f>IF('6'!$A$8="","",'6'!$A$8)</f>
        <v/>
      </c>
      <c r="N13" s="42"/>
      <c r="O13" s="42"/>
      <c r="P13" s="42"/>
      <c r="Q13" s="42"/>
      <c r="R13" s="42"/>
      <c r="S13" s="42"/>
    </row>
    <row r="14" spans="1:19" x14ac:dyDescent="0.25">
      <c r="A14" s="39">
        <v>7</v>
      </c>
      <c r="B14" s="48">
        <f t="shared" si="0"/>
        <v>2</v>
      </c>
      <c r="C14" s="40">
        <v>0.75</v>
      </c>
      <c r="D14" s="40">
        <v>0.75</v>
      </c>
      <c r="E14" s="40">
        <v>0.5</v>
      </c>
      <c r="F14" s="40"/>
      <c r="G14" s="40"/>
      <c r="H14" s="40"/>
      <c r="I14" s="40"/>
      <c r="J14" s="41" t="str">
        <f t="shared" ca="1" si="1"/>
        <v>Incomplete</v>
      </c>
      <c r="L14" s="39">
        <f t="shared" si="2"/>
        <v>7</v>
      </c>
      <c r="M14" s="42" t="str">
        <f>IF('7'!$A$8="","",'7'!$A$8)</f>
        <v/>
      </c>
      <c r="N14" s="42" t="str">
        <f>IF('7'!$A$12="","",'7'!$A$12)</f>
        <v/>
      </c>
      <c r="O14" s="42" t="str">
        <f>IF('7'!$A$16="","",'7'!$A$16)</f>
        <v/>
      </c>
      <c r="P14" s="42"/>
      <c r="Q14" s="42"/>
      <c r="R14" s="42"/>
      <c r="S14" s="42"/>
    </row>
    <row r="15" spans="1:19" x14ac:dyDescent="0.25">
      <c r="A15" s="39">
        <v>8</v>
      </c>
      <c r="B15" s="48">
        <f t="shared" si="0"/>
        <v>2.5</v>
      </c>
      <c r="C15" s="40">
        <v>2</v>
      </c>
      <c r="D15" s="40">
        <v>0.5</v>
      </c>
      <c r="E15" s="40"/>
      <c r="F15" s="40"/>
      <c r="G15" s="40"/>
      <c r="H15" s="40"/>
      <c r="I15" s="40"/>
      <c r="J15" s="41" t="str">
        <f t="shared" ca="1" si="1"/>
        <v>Incomplete</v>
      </c>
      <c r="L15" s="39">
        <f t="shared" si="2"/>
        <v>8</v>
      </c>
      <c r="M15" s="42" t="str">
        <f>IF('8'!$A$8="","",'8'!$A$8)</f>
        <v/>
      </c>
      <c r="N15" s="42" t="str">
        <f>IF('8'!$A$15="","",'8'!$A$15)</f>
        <v/>
      </c>
      <c r="O15" s="42"/>
      <c r="P15" s="42"/>
      <c r="Q15" s="42"/>
      <c r="R15" s="42"/>
      <c r="S15" s="42"/>
    </row>
    <row r="16" spans="1:19" x14ac:dyDescent="0.25">
      <c r="A16" s="39">
        <v>9</v>
      </c>
      <c r="B16" s="48">
        <f t="shared" si="0"/>
        <v>2.5</v>
      </c>
      <c r="C16" s="40">
        <v>0.5</v>
      </c>
      <c r="D16" s="40">
        <v>2</v>
      </c>
      <c r="E16" s="40"/>
      <c r="F16" s="40"/>
      <c r="G16" s="40"/>
      <c r="H16" s="40"/>
      <c r="I16" s="40"/>
      <c r="J16" s="41" t="str">
        <f t="shared" ca="1" si="1"/>
        <v>Incomplete</v>
      </c>
      <c r="L16" s="39">
        <f t="shared" si="2"/>
        <v>9</v>
      </c>
      <c r="M16" s="42" t="str">
        <f>IF('9'!$A$8="","",'9'!$A$8)</f>
        <v/>
      </c>
      <c r="N16" s="42" t="str">
        <f>IF('9'!$A$12="","",'9'!$A$12)</f>
        <v/>
      </c>
      <c r="O16" s="42"/>
      <c r="P16" s="42"/>
      <c r="Q16" s="42"/>
      <c r="R16" s="42"/>
      <c r="S16" s="42"/>
    </row>
    <row r="17" spans="1:19" x14ac:dyDescent="0.25">
      <c r="A17" s="39">
        <v>10</v>
      </c>
      <c r="B17" s="48">
        <f t="shared" si="0"/>
        <v>2</v>
      </c>
      <c r="C17" s="40">
        <v>1</v>
      </c>
      <c r="D17" s="40">
        <v>1</v>
      </c>
      <c r="E17" s="40"/>
      <c r="F17" s="40"/>
      <c r="G17" s="40"/>
      <c r="H17" s="40"/>
      <c r="I17" s="40"/>
      <c r="J17" s="41" t="str">
        <f t="shared" ca="1" si="1"/>
        <v>Incomplete</v>
      </c>
      <c r="L17" s="39">
        <f t="shared" si="2"/>
        <v>10</v>
      </c>
      <c r="M17" s="42" t="str">
        <f>IF('10'!$A$8="","",'10'!$A$8)</f>
        <v/>
      </c>
      <c r="N17" s="42" t="str">
        <f>IF('10'!$A$12="","",'10'!$A$12)</f>
        <v/>
      </c>
      <c r="O17" s="42"/>
      <c r="P17" s="42"/>
      <c r="Q17" s="42"/>
      <c r="R17" s="42"/>
      <c r="S17" s="42"/>
    </row>
    <row r="18" spans="1:19" x14ac:dyDescent="0.25">
      <c r="A18" s="39">
        <v>11</v>
      </c>
      <c r="B18" s="48">
        <f t="shared" si="0"/>
        <v>1.5</v>
      </c>
      <c r="C18" s="40">
        <v>1</v>
      </c>
      <c r="D18" s="40">
        <v>0.5</v>
      </c>
      <c r="E18" s="40"/>
      <c r="F18" s="40"/>
      <c r="G18" s="40"/>
      <c r="H18" s="40"/>
      <c r="I18" s="40"/>
      <c r="J18" s="41" t="str">
        <f t="shared" ca="1" si="1"/>
        <v>Incomplete</v>
      </c>
      <c r="L18" s="39">
        <f t="shared" si="2"/>
        <v>11</v>
      </c>
      <c r="M18" s="42" t="str">
        <f>IF('11'!$A$8="","",'11'!$A$8)</f>
        <v/>
      </c>
      <c r="N18" s="42" t="str">
        <f>IF('11'!$A$16="","",'11'!$A$16)</f>
        <v/>
      </c>
      <c r="O18" s="42"/>
      <c r="P18" s="42"/>
      <c r="Q18" s="42"/>
      <c r="R18" s="42"/>
      <c r="S18" s="42"/>
    </row>
    <row r="19" spans="1:19" x14ac:dyDescent="0.25">
      <c r="A19" s="39">
        <v>12</v>
      </c>
      <c r="B19" s="48">
        <f t="shared" si="0"/>
        <v>3.25</v>
      </c>
      <c r="C19" s="40">
        <v>2</v>
      </c>
      <c r="D19" s="40">
        <v>0.5</v>
      </c>
      <c r="E19" s="40">
        <v>0.75</v>
      </c>
      <c r="F19" s="40"/>
      <c r="G19" s="40"/>
      <c r="H19" s="40"/>
      <c r="I19" s="40"/>
      <c r="J19" s="41" t="str">
        <f t="shared" ca="1" si="1"/>
        <v>Incomplete</v>
      </c>
      <c r="L19" s="39">
        <f t="shared" si="2"/>
        <v>12</v>
      </c>
      <c r="M19" s="42" t="str">
        <f>IF('12'!$A$8="","",'12'!$A$8)</f>
        <v/>
      </c>
      <c r="N19" s="42" t="str">
        <f>IF('12'!$A$12="","",'12'!$A$12)</f>
        <v/>
      </c>
      <c r="O19" s="42" t="str">
        <f>IF('12'!$A$16="","",'12'!$A$16)</f>
        <v/>
      </c>
      <c r="P19" s="42"/>
      <c r="Q19" s="42"/>
      <c r="R19" s="42"/>
      <c r="S19" s="42"/>
    </row>
    <row r="20" spans="1:19" x14ac:dyDescent="0.25">
      <c r="A20" s="39">
        <v>13</v>
      </c>
      <c r="B20" s="48">
        <f t="shared" si="0"/>
        <v>3.75</v>
      </c>
      <c r="C20" s="40">
        <v>1</v>
      </c>
      <c r="D20" s="40">
        <v>1.25</v>
      </c>
      <c r="E20" s="40">
        <v>1.5</v>
      </c>
      <c r="F20" s="40"/>
      <c r="G20" s="40"/>
      <c r="H20" s="40"/>
      <c r="I20" s="40"/>
      <c r="J20" s="41" t="str">
        <f t="shared" ca="1" si="1"/>
        <v>Incomplete</v>
      </c>
      <c r="L20" s="39">
        <f t="shared" si="2"/>
        <v>13</v>
      </c>
      <c r="M20" s="42" t="str">
        <f>IF('13'!$A$8="","",'13'!$A$8)</f>
        <v/>
      </c>
      <c r="N20" s="42" t="str">
        <f>IF('13'!$A$12="","",'13'!$A$12)</f>
        <v/>
      </c>
      <c r="O20" s="42" t="str">
        <f>IF('13'!$A$31="","",'13'!$A$31)</f>
        <v/>
      </c>
      <c r="P20" s="42"/>
      <c r="Q20" s="42"/>
      <c r="R20" s="42"/>
      <c r="S20" s="42"/>
    </row>
    <row r="21" spans="1:19" x14ac:dyDescent="0.25">
      <c r="A21" s="39">
        <v>14</v>
      </c>
      <c r="B21" s="48">
        <f t="shared" si="0"/>
        <v>2</v>
      </c>
      <c r="C21" s="40">
        <v>2</v>
      </c>
      <c r="D21" s="40"/>
      <c r="E21" s="40"/>
      <c r="F21" s="40"/>
      <c r="G21" s="40"/>
      <c r="H21" s="40"/>
      <c r="I21" s="40"/>
      <c r="J21" s="41" t="str">
        <f t="shared" ca="1" si="1"/>
        <v>Incomplete</v>
      </c>
      <c r="L21" s="39">
        <f t="shared" si="2"/>
        <v>14</v>
      </c>
      <c r="M21" s="42" t="str">
        <f>IF('14'!$A$8="","",'14'!$A$8)</f>
        <v/>
      </c>
      <c r="N21" s="42"/>
      <c r="O21" s="42"/>
      <c r="P21" s="42"/>
      <c r="Q21" s="42"/>
      <c r="R21" s="42"/>
      <c r="S21" s="42"/>
    </row>
    <row r="22" spans="1:19" x14ac:dyDescent="0.25">
      <c r="A22" s="39">
        <v>15</v>
      </c>
      <c r="B22" s="48">
        <f t="shared" si="0"/>
        <v>1.25</v>
      </c>
      <c r="C22" s="40">
        <v>1.25</v>
      </c>
      <c r="D22" s="40"/>
      <c r="E22" s="40"/>
      <c r="F22" s="40"/>
      <c r="G22" s="40"/>
      <c r="H22" s="40"/>
      <c r="I22" s="40"/>
      <c r="J22" s="41" t="str">
        <f t="shared" ca="1" si="1"/>
        <v>Incomplete</v>
      </c>
      <c r="L22" s="39">
        <f t="shared" si="2"/>
        <v>15</v>
      </c>
      <c r="M22" s="42" t="str">
        <f>IF('15'!$A$8="","",'15'!$A$8)</f>
        <v/>
      </c>
      <c r="N22" s="42"/>
      <c r="O22" s="42"/>
      <c r="P22" s="42"/>
      <c r="Q22" s="42"/>
      <c r="R22" s="42"/>
      <c r="S22" s="42"/>
    </row>
    <row r="23" spans="1:19" x14ac:dyDescent="0.25">
      <c r="A23" s="39">
        <v>16</v>
      </c>
      <c r="B23" s="48">
        <f t="shared" si="0"/>
        <v>2.5</v>
      </c>
      <c r="C23" s="40">
        <v>0.25</v>
      </c>
      <c r="D23" s="40">
        <v>0.5</v>
      </c>
      <c r="E23" s="40">
        <v>0.75</v>
      </c>
      <c r="F23" s="40">
        <v>1</v>
      </c>
      <c r="G23" s="40"/>
      <c r="H23" s="40"/>
      <c r="I23" s="40"/>
      <c r="J23" s="41" t="str">
        <f t="shared" ca="1" si="1"/>
        <v>Incomplete</v>
      </c>
      <c r="L23" s="39">
        <f t="shared" si="2"/>
        <v>16</v>
      </c>
      <c r="M23" s="42" t="str">
        <f>IF('16'!$A$8="","",'16'!$A$8)</f>
        <v/>
      </c>
      <c r="N23" s="42" t="str">
        <f>IF('16'!$A$12="","",'16'!$A$12)</f>
        <v/>
      </c>
      <c r="O23" s="42" t="str">
        <f>IF('16'!$A$16="","",'16'!$A$16)</f>
        <v/>
      </c>
      <c r="P23" s="42" t="str">
        <f>IF('16'!$A$20="","",'16'!$A$20)</f>
        <v/>
      </c>
      <c r="Q23" s="42"/>
      <c r="R23" s="42"/>
      <c r="S23" s="42"/>
    </row>
    <row r="24" spans="1:19" x14ac:dyDescent="0.25">
      <c r="A24" s="39">
        <v>17</v>
      </c>
      <c r="B24" s="48">
        <f t="shared" si="0"/>
        <v>2.75</v>
      </c>
      <c r="C24" s="40">
        <v>0.5</v>
      </c>
      <c r="D24" s="40">
        <v>1.5</v>
      </c>
      <c r="E24" s="40">
        <v>0.75</v>
      </c>
      <c r="F24" s="40"/>
      <c r="G24" s="40"/>
      <c r="H24" s="40"/>
      <c r="I24" s="40"/>
      <c r="J24" s="41" t="str">
        <f t="shared" ca="1" si="1"/>
        <v>Incomplete</v>
      </c>
      <c r="L24" s="39">
        <f t="shared" si="2"/>
        <v>17</v>
      </c>
      <c r="M24" s="42" t="str">
        <f>IF('17'!$A$8="","",'17'!$A$8)</f>
        <v/>
      </c>
      <c r="N24" s="42" t="str">
        <f>IF('17'!$A$12="","",'17'!$A$12)</f>
        <v/>
      </c>
      <c r="O24" s="42" t="str">
        <f>IF('17'!$A$16="","",'17'!$A$16)</f>
        <v/>
      </c>
      <c r="P24" s="42"/>
      <c r="Q24" s="42"/>
      <c r="R24" s="42"/>
      <c r="S24" s="42"/>
    </row>
    <row r="25" spans="1:19" x14ac:dyDescent="0.25">
      <c r="A25" s="39">
        <v>18</v>
      </c>
      <c r="B25" s="48">
        <f t="shared" si="0"/>
        <v>1</v>
      </c>
      <c r="C25" s="40">
        <v>0.75</v>
      </c>
      <c r="D25" s="40">
        <v>0.25</v>
      </c>
      <c r="E25" s="40"/>
      <c r="F25" s="40"/>
      <c r="G25" s="40"/>
      <c r="H25" s="40"/>
      <c r="I25" s="40"/>
      <c r="J25" s="41" t="str">
        <f t="shared" ca="1" si="1"/>
        <v>Incomplete</v>
      </c>
      <c r="L25" s="39">
        <f t="shared" si="2"/>
        <v>18</v>
      </c>
      <c r="M25" s="42" t="str">
        <f>IF('18'!$A$8="","",'18'!$A$8)</f>
        <v/>
      </c>
      <c r="N25" s="42" t="str">
        <f>IF('18'!$A$18="","",'18'!$A$18)</f>
        <v/>
      </c>
      <c r="O25" s="42"/>
      <c r="P25" s="42"/>
      <c r="Q25" s="42"/>
      <c r="R25" s="42"/>
      <c r="S25" s="42"/>
    </row>
    <row r="26" spans="1:19" x14ac:dyDescent="0.25">
      <c r="A26" s="39">
        <v>19</v>
      </c>
      <c r="B26" s="48">
        <f t="shared" si="0"/>
        <v>0.75</v>
      </c>
      <c r="C26" s="40">
        <v>0.75</v>
      </c>
      <c r="D26" s="40"/>
      <c r="E26" s="40"/>
      <c r="F26" s="40"/>
      <c r="G26" s="40"/>
      <c r="H26" s="40"/>
      <c r="I26" s="40"/>
      <c r="J26" s="41" t="str">
        <f t="shared" ca="1" si="1"/>
        <v>Incomplete</v>
      </c>
      <c r="L26" s="39">
        <f t="shared" si="2"/>
        <v>19</v>
      </c>
      <c r="M26" s="42" t="str">
        <f>IF('19'!$A$8="","",'19'!$A$8)</f>
        <v/>
      </c>
      <c r="N26" s="42"/>
      <c r="O26" s="42"/>
      <c r="P26" s="42"/>
      <c r="Q26" s="42"/>
      <c r="R26" s="42"/>
      <c r="S26" s="42"/>
    </row>
    <row r="27" spans="1:19" x14ac:dyDescent="0.25">
      <c r="A27" s="39">
        <v>20</v>
      </c>
      <c r="B27" s="48">
        <f t="shared" si="0"/>
        <v>1.5</v>
      </c>
      <c r="C27" s="40">
        <v>0.25</v>
      </c>
      <c r="D27" s="40">
        <v>0.25</v>
      </c>
      <c r="E27" s="40">
        <v>0.25</v>
      </c>
      <c r="F27" s="40">
        <v>0.25</v>
      </c>
      <c r="G27" s="40">
        <v>0.25</v>
      </c>
      <c r="H27" s="40">
        <v>0.25</v>
      </c>
      <c r="I27" s="40"/>
      <c r="J27" s="41" t="str">
        <f t="shared" ref="J27:J32" ca="1" si="3">INDIRECT("'"&amp;A27&amp;"'!B1")</f>
        <v>Incomplete</v>
      </c>
      <c r="L27" s="39">
        <f t="shared" ref="L27:L32" si="4">A27</f>
        <v>20</v>
      </c>
      <c r="M27" s="42" t="str">
        <f>IF('20'!$A$8="","",'20'!$A$8)</f>
        <v/>
      </c>
      <c r="N27" s="42" t="str">
        <f>IF('20'!$A$12="","",'20'!$A$12)</f>
        <v/>
      </c>
      <c r="O27" s="42" t="str">
        <f>IF('20'!$A$16="","",'20'!$A$16)</f>
        <v/>
      </c>
      <c r="P27" s="42" t="str">
        <f>IF('20'!$A$20="","",'20'!$A$20)</f>
        <v/>
      </c>
      <c r="Q27" s="42" t="str">
        <f>IF('20'!$A$24="","",'20'!$A$24)</f>
        <v/>
      </c>
      <c r="R27" s="42" t="str">
        <f>IF('20'!$A$28="","",'20'!$A$28)</f>
        <v/>
      </c>
      <c r="S27" s="42"/>
    </row>
    <row r="28" spans="1:19" x14ac:dyDescent="0.25">
      <c r="A28" s="39">
        <v>21</v>
      </c>
      <c r="B28" s="48">
        <f t="shared" si="0"/>
        <v>2.25</v>
      </c>
      <c r="C28" s="40">
        <v>1</v>
      </c>
      <c r="D28" s="40">
        <v>0.25</v>
      </c>
      <c r="E28" s="40">
        <v>1</v>
      </c>
      <c r="F28" s="40"/>
      <c r="G28" s="40"/>
      <c r="H28" s="40"/>
      <c r="I28" s="40"/>
      <c r="J28" s="41" t="str">
        <f t="shared" ca="1" si="3"/>
        <v>Incomplete</v>
      </c>
      <c r="L28" s="39">
        <f t="shared" si="4"/>
        <v>21</v>
      </c>
      <c r="M28" s="42" t="str">
        <f>IF('21'!$A$8="","",'21'!$A$8)</f>
        <v/>
      </c>
      <c r="N28" s="42" t="str">
        <f>IF('21'!$A$22="","",'21'!$A$22)</f>
        <v/>
      </c>
      <c r="O28" s="42" t="str">
        <f>IF('21'!$A$26="","",'21'!$A$26)</f>
        <v/>
      </c>
      <c r="P28" s="42"/>
      <c r="Q28" s="42"/>
      <c r="R28" s="42"/>
      <c r="S28" s="42"/>
    </row>
    <row r="29" spans="1:19" x14ac:dyDescent="0.25">
      <c r="A29" s="39">
        <v>22</v>
      </c>
      <c r="B29" s="48">
        <f t="shared" si="0"/>
        <v>1.75</v>
      </c>
      <c r="C29" s="40">
        <v>0.25</v>
      </c>
      <c r="D29" s="40">
        <v>0.5</v>
      </c>
      <c r="E29" s="40">
        <v>1</v>
      </c>
      <c r="F29" s="40"/>
      <c r="G29" s="40"/>
      <c r="H29" s="40"/>
      <c r="I29" s="40"/>
      <c r="J29" s="41" t="str">
        <f t="shared" ca="1" si="3"/>
        <v>Incomplete</v>
      </c>
      <c r="L29" s="39">
        <f t="shared" si="4"/>
        <v>22</v>
      </c>
      <c r="M29" s="42" t="str">
        <f>IF('22'!$A$8="","",'22'!$A$8)</f>
        <v/>
      </c>
      <c r="N29" s="42" t="str">
        <f>IF('22'!$A$12="","",'22'!$A$12)</f>
        <v/>
      </c>
      <c r="O29" s="42" t="str">
        <f>IF('22'!$A$16="","",'22'!$A$16)</f>
        <v/>
      </c>
      <c r="P29" s="42"/>
      <c r="Q29" s="42"/>
      <c r="R29" s="42"/>
      <c r="S29" s="42"/>
    </row>
    <row r="30" spans="1:19" x14ac:dyDescent="0.25">
      <c r="A30" s="43">
        <v>23</v>
      </c>
      <c r="B30" s="48">
        <f t="shared" si="0"/>
        <v>3</v>
      </c>
      <c r="C30" s="40">
        <v>0.5</v>
      </c>
      <c r="D30" s="40">
        <v>1</v>
      </c>
      <c r="E30" s="40">
        <v>1.5</v>
      </c>
      <c r="F30" s="40"/>
      <c r="G30" s="40"/>
      <c r="H30" s="40"/>
      <c r="I30" s="40"/>
      <c r="J30" s="41" t="str">
        <f t="shared" ca="1" si="3"/>
        <v>Incomplete</v>
      </c>
      <c r="L30" s="39">
        <f t="shared" si="4"/>
        <v>23</v>
      </c>
      <c r="M30" s="42" t="str">
        <f>IF('23'!$A$8="","",'23'!$A$8)</f>
        <v/>
      </c>
      <c r="N30" s="42" t="str">
        <f>IF('23'!$A$12="","",'23'!$A$12)</f>
        <v/>
      </c>
      <c r="O30" s="42" t="str">
        <f>IF('23'!$A$16="","",'23'!$A$16)</f>
        <v/>
      </c>
      <c r="P30" s="42"/>
      <c r="Q30" s="42"/>
      <c r="R30" s="42"/>
      <c r="S30" s="42"/>
    </row>
    <row r="31" spans="1:19" x14ac:dyDescent="0.25">
      <c r="A31" s="43">
        <v>24</v>
      </c>
      <c r="B31" s="48">
        <f t="shared" si="0"/>
        <v>4.5</v>
      </c>
      <c r="C31" s="40">
        <v>1</v>
      </c>
      <c r="D31" s="40">
        <v>1</v>
      </c>
      <c r="E31" s="40">
        <v>2.5</v>
      </c>
      <c r="F31" s="40"/>
      <c r="G31" s="40"/>
      <c r="H31" s="40"/>
      <c r="I31" s="40"/>
      <c r="J31" s="41" t="str">
        <f t="shared" ca="1" si="3"/>
        <v>Incomplete</v>
      </c>
      <c r="L31" s="39">
        <f t="shared" si="4"/>
        <v>24</v>
      </c>
      <c r="M31" s="42" t="str">
        <f>IF('24'!$A$8="","",'24'!$A$8)</f>
        <v/>
      </c>
      <c r="N31" s="42" t="str">
        <f>IF('24'!$A$12="","",'24'!$A$12)</f>
        <v/>
      </c>
      <c r="O31" s="42" t="str">
        <f>IF('24'!$A$16="","",'24'!$A$16)</f>
        <v/>
      </c>
      <c r="P31" s="42"/>
      <c r="Q31" s="42"/>
      <c r="R31" s="42"/>
      <c r="S31" s="42"/>
    </row>
    <row r="32" spans="1:19" x14ac:dyDescent="0.25">
      <c r="A32" s="39">
        <v>25</v>
      </c>
      <c r="B32" s="49">
        <f t="shared" si="0"/>
        <v>2</v>
      </c>
      <c r="C32" s="40">
        <v>0.5</v>
      </c>
      <c r="D32" s="40">
        <v>1.5</v>
      </c>
      <c r="E32" s="40"/>
      <c r="F32" s="40"/>
      <c r="G32" s="40"/>
      <c r="H32" s="40"/>
      <c r="I32" s="40"/>
      <c r="J32" s="41" t="str">
        <f t="shared" ca="1" si="3"/>
        <v>Incomplete</v>
      </c>
      <c r="L32" s="39">
        <f t="shared" si="4"/>
        <v>25</v>
      </c>
      <c r="M32" s="42" t="str">
        <f>IF('25'!$A$8="","",'25'!$A$8)</f>
        <v/>
      </c>
      <c r="N32" s="42" t="str">
        <f>IF('25'!$A$15="","",'25'!$A$15)</f>
        <v/>
      </c>
      <c r="O32" s="42"/>
      <c r="P32" s="42"/>
      <c r="Q32" s="42"/>
      <c r="R32" s="42"/>
      <c r="S32" s="42"/>
    </row>
    <row r="33" spans="1:19" x14ac:dyDescent="0.25">
      <c r="A33" s="50">
        <v>26</v>
      </c>
      <c r="B33" s="51">
        <f t="shared" ref="B33:B37" si="5">SUM(C33:I33)</f>
        <v>2.25</v>
      </c>
      <c r="C33" s="52">
        <v>0.25</v>
      </c>
      <c r="D33" s="52">
        <v>0.25</v>
      </c>
      <c r="E33" s="52">
        <v>1.75</v>
      </c>
      <c r="F33" s="52"/>
      <c r="G33" s="52"/>
      <c r="H33" s="52"/>
      <c r="I33" s="40"/>
      <c r="J33" s="41" t="str">
        <f t="shared" ref="J33:J37" ca="1" si="6">INDIRECT("'"&amp;A33&amp;"'!B1")</f>
        <v>Incomplete</v>
      </c>
      <c r="L33" s="50">
        <v>26</v>
      </c>
      <c r="M33" s="42" t="str">
        <f>IF('26'!$A$8="","",'26'!$A$8)</f>
        <v/>
      </c>
      <c r="N33" s="42" t="str">
        <f>IF('26'!$A$12="","",'26'!$A$12)</f>
        <v/>
      </c>
      <c r="O33" s="42" t="str">
        <f>IF('26'!$A$16="","",'26'!$A$16)</f>
        <v/>
      </c>
      <c r="P33" s="42"/>
      <c r="Q33" s="42"/>
      <c r="R33" s="42"/>
      <c r="S33" s="42"/>
    </row>
    <row r="34" spans="1:19" x14ac:dyDescent="0.25">
      <c r="A34" s="50">
        <v>27</v>
      </c>
      <c r="B34" s="51">
        <f t="shared" si="5"/>
        <v>1.5</v>
      </c>
      <c r="C34" s="52">
        <v>0.25</v>
      </c>
      <c r="D34" s="52">
        <v>0.25</v>
      </c>
      <c r="E34" s="52">
        <v>0.5</v>
      </c>
      <c r="F34" s="52">
        <v>0.5</v>
      </c>
      <c r="G34" s="52"/>
      <c r="H34" s="52"/>
      <c r="I34" s="40"/>
      <c r="J34" s="41" t="str">
        <f t="shared" ca="1" si="6"/>
        <v>Incomplete</v>
      </c>
      <c r="L34" s="50">
        <v>27</v>
      </c>
      <c r="M34" s="42" t="str">
        <f>IF('27'!$A$8="","",'27'!$A$8)</f>
        <v/>
      </c>
      <c r="N34" s="42" t="str">
        <f>IF('27'!$A$12="","",'27'!$A$12)</f>
        <v/>
      </c>
      <c r="O34" s="42" t="str">
        <f>IF('27'!$A$16="","",'27'!$A$16)</f>
        <v/>
      </c>
      <c r="P34" s="42" t="str">
        <f>IF('27'!$A$24="","",'27'!$A$24)</f>
        <v/>
      </c>
      <c r="Q34" s="42"/>
      <c r="R34" s="42"/>
      <c r="S34" s="42"/>
    </row>
    <row r="35" spans="1:19" x14ac:dyDescent="0.25">
      <c r="A35" s="50">
        <v>28</v>
      </c>
      <c r="B35" s="51">
        <f t="shared" si="5"/>
        <v>3</v>
      </c>
      <c r="C35" s="52">
        <v>0.5</v>
      </c>
      <c r="D35" s="52">
        <v>0.5</v>
      </c>
      <c r="E35" s="52">
        <v>0.5</v>
      </c>
      <c r="F35" s="52">
        <v>1.5</v>
      </c>
      <c r="G35" s="52"/>
      <c r="H35" s="52"/>
      <c r="I35" s="40"/>
      <c r="J35" s="41" t="str">
        <f t="shared" ca="1" si="6"/>
        <v>Incomplete</v>
      </c>
      <c r="L35" s="50">
        <v>28</v>
      </c>
      <c r="M35" s="42" t="str">
        <f>IF('28'!$A$8="","",'28'!$A$8)</f>
        <v/>
      </c>
      <c r="N35" s="42" t="str">
        <f>IF('28'!$A$23="","",'28'!$A$23)</f>
        <v/>
      </c>
      <c r="O35" s="42" t="str">
        <f>IF('28'!$A$27="","",'28'!$A$27)</f>
        <v/>
      </c>
      <c r="P35" s="42" t="str">
        <f>IF('28'!$A$39="","",'28'!$A$39)</f>
        <v/>
      </c>
      <c r="Q35" s="42"/>
      <c r="R35" s="42"/>
      <c r="S35" s="42"/>
    </row>
    <row r="36" spans="1:19" x14ac:dyDescent="0.25">
      <c r="A36" s="50">
        <v>29</v>
      </c>
      <c r="B36" s="51">
        <f t="shared" si="5"/>
        <v>2</v>
      </c>
      <c r="C36" s="52">
        <v>2</v>
      </c>
      <c r="D36" s="52"/>
      <c r="E36" s="52"/>
      <c r="F36" s="52"/>
      <c r="G36" s="52"/>
      <c r="H36" s="52"/>
      <c r="I36" s="40"/>
      <c r="J36" s="41" t="str">
        <f t="shared" ca="1" si="6"/>
        <v>Incomplete</v>
      </c>
      <c r="L36" s="50">
        <v>29</v>
      </c>
      <c r="M36" s="42" t="str">
        <f>IF('29'!$A$8="","",'29'!$A$8)</f>
        <v/>
      </c>
      <c r="N36" s="42"/>
      <c r="O36" s="42"/>
      <c r="P36" s="42"/>
      <c r="Q36" s="42"/>
      <c r="R36" s="42"/>
      <c r="S36" s="42"/>
    </row>
    <row r="37" spans="1:19" x14ac:dyDescent="0.25">
      <c r="A37" s="50">
        <v>30</v>
      </c>
      <c r="B37" s="54">
        <f t="shared" si="5"/>
        <v>2.5</v>
      </c>
      <c r="C37" s="52">
        <v>0.75</v>
      </c>
      <c r="D37" s="52">
        <v>1.75</v>
      </c>
      <c r="E37" s="52"/>
      <c r="F37" s="52"/>
      <c r="G37" s="52"/>
      <c r="H37" s="52"/>
      <c r="I37" s="40"/>
      <c r="J37" s="41" t="str">
        <f t="shared" ca="1" si="6"/>
        <v>Incomplete</v>
      </c>
      <c r="L37" s="50">
        <v>30</v>
      </c>
      <c r="M37" s="42" t="str">
        <f>IF('30'!$A$8="","",'30'!$A$8)</f>
        <v/>
      </c>
      <c r="N37" s="42" t="str">
        <f>IF('30'!$A$12="","",'30'!$A$12)</f>
        <v/>
      </c>
      <c r="O37" s="42"/>
      <c r="P37" s="42"/>
      <c r="Q37" s="42"/>
      <c r="R37" s="42"/>
      <c r="S37" s="42"/>
    </row>
  </sheetData>
  <mergeCells count="1">
    <mergeCell ref="B6:B7"/>
  </mergeCells>
  <conditionalFormatting sqref="J8:J37">
    <cfRule type="cellIs" dxfId="101" priority="217" operator="equal">
      <formula>"Finished"</formula>
    </cfRule>
    <cfRule type="cellIs" dxfId="100" priority="218" operator="equal">
      <formula>"Flag for Review"</formula>
    </cfRule>
    <cfRule type="cellIs" dxfId="99" priority="219" operator="equal">
      <formula>"Incomplete"</formula>
    </cfRule>
  </conditionalFormatting>
  <conditionalFormatting sqref="P2">
    <cfRule type="expression" dxfId="98" priority="56">
      <formula>LEN(P2)=0</formula>
    </cfRule>
    <cfRule type="cellIs" dxfId="97" priority="214" operator="greaterThanOrEqual">
      <formula>0.75</formula>
    </cfRule>
    <cfRule type="cellIs" dxfId="96" priority="215" operator="greaterThanOrEqual">
      <formula>0.65</formula>
    </cfRule>
    <cfRule type="cellIs" dxfId="95" priority="216" operator="greaterThanOrEqual">
      <formula>0</formula>
    </cfRule>
  </conditionalFormatting>
  <conditionalFormatting sqref="C8:I32 I32:I37 C10:H37">
    <cfRule type="containsBlanks" dxfId="94" priority="220">
      <formula>LEN(TRIM(C8))=0</formula>
    </cfRule>
  </conditionalFormatting>
  <conditionalFormatting sqref="M8:S37">
    <cfRule type="expression" dxfId="93" priority="29">
      <formula>C8=""</formula>
    </cfRule>
    <cfRule type="expression" dxfId="92" priority="30">
      <formula>M8/C8&gt;=0.75</formula>
    </cfRule>
    <cfRule type="expression" dxfId="91" priority="31">
      <formula>M8/C8&gt;=0.65</formula>
    </cfRule>
    <cfRule type="expression" dxfId="90" priority="32">
      <formula>M8/C8&gt;=0</formula>
    </cfRule>
  </conditionalFormatting>
  <hyperlinks>
    <hyperlink ref="L8" location="'1'!A1" display="'1'!A1"/>
    <hyperlink ref="L9" location="'2'!A1" display="'2'!A1"/>
    <hyperlink ref="L10" location="'3'!A1" display="'3'!A1"/>
    <hyperlink ref="L11" location="'4'!A1" display="'4'!A1"/>
    <hyperlink ref="L12" location="'5'!A1" display="'5'!A1"/>
    <hyperlink ref="L13" location="'6'!A1" display="'6'!A1"/>
    <hyperlink ref="L14" location="'7'!A1" display="'7'!A1"/>
    <hyperlink ref="L15" location="'8'!A1" display="'8'!A1"/>
    <hyperlink ref="L16" location="'9'!A1" display="'9'!A1"/>
    <hyperlink ref="L17" location="'10'!A1" display="'10'!A1"/>
    <hyperlink ref="L18" location="'11'!A1" display="'11'!A1"/>
    <hyperlink ref="L19" location="'12'!A1" display="'12'!A1"/>
    <hyperlink ref="L20" location="'13'!A1" display="'13'!A1"/>
    <hyperlink ref="L21" location="'14'!A1" display="'14'!A1"/>
    <hyperlink ref="L22" location="'15'!A1" display="'15'!A1"/>
    <hyperlink ref="L23" location="'16'!A1" display="'16'!A1"/>
    <hyperlink ref="L24" location="'17'!A1" display="'17'!A1"/>
    <hyperlink ref="L25" location="'18'!A1" display="'18'!A1"/>
    <hyperlink ref="A8" location="'1'!A1" display="'1'!A1"/>
    <hyperlink ref="A9" location="'2'!A1" display="'2'!A1"/>
    <hyperlink ref="A10" location="'3'!A1" display="'3'!A1"/>
    <hyperlink ref="A11" location="'4'!A1" display="'4'!A1"/>
    <hyperlink ref="A12" location="'5'!A1" display="'5'!A1"/>
    <hyperlink ref="A13" location="'6'!A1" display="'6'!A1"/>
    <hyperlink ref="A14" location="'7'!A1" display="'7'!A1"/>
    <hyperlink ref="A15" location="'8'!A1" display="'8'!A1"/>
    <hyperlink ref="A16" location="'9'!A1" display="'9'!A1"/>
    <hyperlink ref="A17" location="'10'!A1" display="'10'!A1"/>
    <hyperlink ref="A18" location="'11'!A1" display="'11'!A1"/>
    <hyperlink ref="A19" location="'12'!A1" display="'12'!A1"/>
    <hyperlink ref="A20" location="'13'!A1" display="'13'!A1"/>
    <hyperlink ref="A21" location="'14'!A1" display="'14'!A1"/>
    <hyperlink ref="A22" location="'15'!A1" display="'15'!A1"/>
    <hyperlink ref="A23" location="'16'!A1" display="'16'!A1"/>
    <hyperlink ref="A24" location="'17'!A1" display="'17'!A1"/>
    <hyperlink ref="A25" location="'18'!A1" display="'18'!A1"/>
    <hyperlink ref="L27" location="'20'!A1" display="'20'!A1"/>
    <hyperlink ref="L28" location="'21'!A1" display="'21'!A1"/>
    <hyperlink ref="L29" location="'22'!A1" display="'22'!A1"/>
    <hyperlink ref="L30" location="'23'!A1" display="'23'!A1"/>
    <hyperlink ref="L31" location="'24'!A1" display="'24'!A1"/>
    <hyperlink ref="L32" location="'25'!A1" display="'25'!A1"/>
    <hyperlink ref="A26" location="'19'!A1" display="19"/>
    <hyperlink ref="L26" location="'19'!A1" display="'19'!A1"/>
    <hyperlink ref="A27" location="'20'!A1" display="20"/>
    <hyperlink ref="A28" location="'21'!A1" display="21"/>
    <hyperlink ref="A29" location="'22'!A1" display="22"/>
    <hyperlink ref="A30" location="'23'!A1" display="23"/>
    <hyperlink ref="A31" location="'24'!A1" display="24"/>
    <hyperlink ref="A33" location="'26'!A1" display="'26'!A1"/>
    <hyperlink ref="A34" location="'27'!A1" display="'27'!A1"/>
    <hyperlink ref="A35" location="'28'!A1" display="'28'!A1"/>
    <hyperlink ref="A36" location="'29'!A1" display="'29'!A1"/>
    <hyperlink ref="A37" location="'30'!A1" display="'30'!A1"/>
    <hyperlink ref="L33" location="'26'!A1" display="'26'!A1"/>
    <hyperlink ref="L34" location="'27'!A1" display="'27'!A1"/>
    <hyperlink ref="L35" location="'28'!A1" display="'28'!A1"/>
    <hyperlink ref="L36" location="'29'!A1" display="'29'!A1"/>
    <hyperlink ref="L37" location="'30'!A1" display="'30'!A1"/>
  </hyperlink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U101"/>
  <sheetViews>
    <sheetView zoomScaleNormal="100" workbookViewId="0"/>
  </sheetViews>
  <sheetFormatPr defaultColWidth="9.140625" defaultRowHeight="15" x14ac:dyDescent="0.25"/>
  <cols>
    <col min="1" max="1" width="9.140625" style="21"/>
    <col min="2" max="2" width="16" style="21" bestFit="1" customWidth="1"/>
    <col min="3" max="9" width="11.140625" style="21" customWidth="1"/>
    <col min="10" max="16384" width="9.140625" style="21"/>
  </cols>
  <sheetData>
    <row r="1" spans="1:21" x14ac:dyDescent="0.25">
      <c r="A1" s="7">
        <v>1</v>
      </c>
      <c r="B1" s="27" t="s">
        <v>12</v>
      </c>
      <c r="C1" s="20"/>
      <c r="D1" s="20"/>
      <c r="E1" s="20"/>
      <c r="F1" s="20"/>
      <c r="G1" s="20"/>
      <c r="H1" s="384" t="s">
        <v>24</v>
      </c>
      <c r="I1" s="385"/>
      <c r="K1"/>
      <c r="L1"/>
      <c r="M1"/>
      <c r="N1"/>
      <c r="O1"/>
      <c r="P1"/>
      <c r="Q1"/>
      <c r="R1"/>
      <c r="S1"/>
      <c r="T1"/>
      <c r="U1"/>
    </row>
    <row r="2" spans="1:21" x14ac:dyDescent="0.25">
      <c r="A2" s="22"/>
      <c r="B2" s="19"/>
      <c r="C2" s="19"/>
      <c r="D2" s="19"/>
      <c r="E2" s="19"/>
      <c r="F2" s="19"/>
      <c r="G2" s="19"/>
      <c r="H2" s="19"/>
      <c r="I2" s="23"/>
      <c r="K2"/>
      <c r="L2"/>
      <c r="M2"/>
      <c r="N2"/>
      <c r="O2"/>
      <c r="P2"/>
      <c r="Q2"/>
      <c r="R2"/>
      <c r="S2"/>
      <c r="T2"/>
      <c r="U2"/>
    </row>
    <row r="3" spans="1:21" x14ac:dyDescent="0.25">
      <c r="A3" s="8" t="s">
        <v>13</v>
      </c>
      <c r="B3" s="17"/>
      <c r="C3" s="17"/>
      <c r="D3" s="17"/>
      <c r="E3" s="17"/>
      <c r="F3" s="17"/>
      <c r="G3" s="17"/>
      <c r="H3" s="17"/>
      <c r="I3" s="18"/>
      <c r="J3" s="31"/>
      <c r="K3"/>
      <c r="L3"/>
      <c r="M3"/>
      <c r="N3"/>
      <c r="O3"/>
      <c r="P3"/>
      <c r="Q3"/>
      <c r="R3"/>
      <c r="S3"/>
      <c r="T3"/>
      <c r="U3"/>
    </row>
    <row r="4" spans="1:21" x14ac:dyDescent="0.25">
      <c r="A4" s="9">
        <f>INDEX('Point Grid'!B:B,MATCH('1'!A1,'Point Grid'!A:A,0))</f>
        <v>1</v>
      </c>
      <c r="B4" s="17" t="s">
        <v>35</v>
      </c>
      <c r="C4" s="17"/>
      <c r="D4" s="17"/>
      <c r="E4" s="17"/>
      <c r="F4" s="17"/>
      <c r="G4" s="17"/>
      <c r="H4" s="17"/>
      <c r="I4" s="18"/>
      <c r="J4" s="31"/>
      <c r="K4"/>
      <c r="L4"/>
      <c r="M4"/>
      <c r="N4"/>
      <c r="O4"/>
      <c r="P4"/>
      <c r="Q4"/>
      <c r="R4"/>
      <c r="S4"/>
      <c r="T4"/>
      <c r="U4"/>
    </row>
    <row r="5" spans="1:21" x14ac:dyDescent="0.25">
      <c r="A5" s="16"/>
      <c r="B5" s="17"/>
      <c r="C5" s="17"/>
      <c r="D5" s="17"/>
      <c r="E5" s="17"/>
      <c r="F5" s="17"/>
      <c r="G5" s="17"/>
      <c r="H5" s="17"/>
      <c r="I5" s="18"/>
      <c r="J5" s="31"/>
      <c r="K5"/>
      <c r="L5"/>
      <c r="M5"/>
      <c r="N5"/>
      <c r="O5"/>
      <c r="P5"/>
      <c r="Q5"/>
      <c r="R5"/>
      <c r="S5"/>
      <c r="T5"/>
      <c r="U5"/>
    </row>
    <row r="6" spans="1:21" x14ac:dyDescent="0.25">
      <c r="A6" s="25" t="s">
        <v>2</v>
      </c>
      <c r="B6" s="17" t="s">
        <v>242</v>
      </c>
      <c r="C6" s="17"/>
      <c r="D6" s="17"/>
      <c r="E6" s="17"/>
      <c r="F6" s="17"/>
      <c r="G6" s="17"/>
      <c r="H6" s="17"/>
      <c r="I6" s="18"/>
      <c r="J6" s="31"/>
      <c r="K6"/>
      <c r="L6"/>
      <c r="M6"/>
      <c r="N6"/>
      <c r="O6"/>
      <c r="P6"/>
      <c r="Q6"/>
      <c r="R6"/>
      <c r="S6"/>
      <c r="T6"/>
      <c r="U6"/>
    </row>
    <row r="7" spans="1:21" ht="15.75" thickBot="1" x14ac:dyDescent="0.3">
      <c r="A7" s="9">
        <f>INDEX('Point Grid'!$C$8:$I$54,MATCH($A$1,'Point Grid'!$A$8:$A$54,0),MATCH(A6,'Point Grid'!$C$7:$I$7,0))</f>
        <v>1</v>
      </c>
      <c r="B7" s="17"/>
      <c r="C7" s="17"/>
      <c r="D7" s="17"/>
      <c r="E7" s="17"/>
      <c r="F7" s="17"/>
      <c r="G7" s="17"/>
      <c r="H7" s="17"/>
      <c r="I7" s="18"/>
      <c r="J7" s="31"/>
      <c r="K7"/>
      <c r="L7"/>
      <c r="M7"/>
      <c r="N7"/>
      <c r="O7"/>
      <c r="P7"/>
      <c r="Q7"/>
      <c r="R7"/>
      <c r="S7"/>
      <c r="T7"/>
      <c r="U7"/>
    </row>
    <row r="8" spans="1:21" ht="15.75" thickBot="1" x14ac:dyDescent="0.3">
      <c r="A8" s="5"/>
      <c r="B8" s="35"/>
      <c r="C8" s="28"/>
      <c r="D8" s="28"/>
      <c r="E8" s="28"/>
      <c r="F8" s="28"/>
      <c r="G8" s="28"/>
      <c r="H8" s="28"/>
      <c r="I8" s="18"/>
      <c r="J8" s="31"/>
      <c r="K8"/>
      <c r="L8"/>
      <c r="M8"/>
      <c r="N8"/>
      <c r="O8"/>
      <c r="P8"/>
      <c r="Q8"/>
      <c r="R8"/>
      <c r="S8"/>
      <c r="T8"/>
      <c r="U8"/>
    </row>
    <row r="9" spans="1:21" x14ac:dyDescent="0.25">
      <c r="A9" s="25"/>
      <c r="B9" s="35"/>
      <c r="C9" s="17"/>
      <c r="D9" s="17"/>
      <c r="E9" s="17"/>
      <c r="F9" s="17"/>
      <c r="G9" s="17"/>
      <c r="H9" s="17"/>
      <c r="I9" s="18"/>
      <c r="J9" s="31"/>
      <c r="K9"/>
      <c r="L9"/>
      <c r="M9"/>
      <c r="N9"/>
      <c r="O9"/>
      <c r="P9"/>
      <c r="Q9"/>
      <c r="R9"/>
      <c r="S9"/>
      <c r="T9"/>
      <c r="U9"/>
    </row>
    <row r="10" spans="1:21" x14ac:dyDescent="0.25">
      <c r="A10" s="25"/>
      <c r="B10" s="35"/>
      <c r="C10" s="17"/>
      <c r="D10" s="17"/>
      <c r="E10" s="17"/>
      <c r="F10" s="17"/>
      <c r="G10" s="17"/>
      <c r="H10" s="17"/>
      <c r="I10" s="18"/>
      <c r="J10" s="31"/>
      <c r="K10"/>
      <c r="L10"/>
      <c r="M10"/>
      <c r="N10"/>
      <c r="O10"/>
      <c r="P10"/>
      <c r="Q10"/>
      <c r="R10"/>
      <c r="S10"/>
      <c r="T10"/>
      <c r="U10"/>
    </row>
    <row r="11" spans="1:21" x14ac:dyDescent="0.25">
      <c r="A11" s="25"/>
      <c r="B11" s="34" t="s">
        <v>37</v>
      </c>
      <c r="C11" s="17" t="s">
        <v>243</v>
      </c>
      <c r="D11" s="17"/>
      <c r="E11" s="17"/>
      <c r="F11" s="17"/>
      <c r="G11" s="17"/>
      <c r="H11" s="17"/>
      <c r="I11" s="18"/>
      <c r="J11" s="31"/>
      <c r="K11"/>
      <c r="L11"/>
      <c r="M11"/>
      <c r="N11"/>
      <c r="O11"/>
      <c r="P11"/>
      <c r="Q11"/>
      <c r="R11"/>
      <c r="S11"/>
      <c r="T11"/>
      <c r="U11"/>
    </row>
    <row r="12" spans="1:21" x14ac:dyDescent="0.25">
      <c r="A12" s="25"/>
      <c r="B12" s="34"/>
      <c r="C12" s="17"/>
      <c r="D12" s="17"/>
      <c r="E12" s="17"/>
      <c r="F12" s="17"/>
      <c r="G12" s="17"/>
      <c r="H12" s="17"/>
      <c r="I12" s="18"/>
      <c r="J12" s="31"/>
      <c r="K12"/>
      <c r="L12"/>
      <c r="M12"/>
      <c r="N12"/>
      <c r="O12"/>
      <c r="P12"/>
      <c r="Q12"/>
      <c r="R12"/>
      <c r="S12"/>
      <c r="T12"/>
      <c r="U12"/>
    </row>
    <row r="13" spans="1:21" x14ac:dyDescent="0.25">
      <c r="A13" s="25"/>
      <c r="B13" s="34"/>
      <c r="C13" s="17"/>
      <c r="D13" s="17"/>
      <c r="E13" s="17"/>
      <c r="F13" s="17"/>
      <c r="G13" s="17"/>
      <c r="H13" s="17"/>
      <c r="I13" s="18"/>
      <c r="J13" s="31"/>
      <c r="K13"/>
      <c r="L13"/>
      <c r="M13"/>
      <c r="N13"/>
      <c r="O13"/>
      <c r="P13"/>
      <c r="Q13"/>
      <c r="R13"/>
      <c r="S13"/>
      <c r="T13"/>
      <c r="U13"/>
    </row>
    <row r="14" spans="1:21" x14ac:dyDescent="0.25">
      <c r="A14" s="25"/>
      <c r="B14" s="34" t="s">
        <v>36</v>
      </c>
      <c r="C14" s="17" t="s">
        <v>244</v>
      </c>
      <c r="D14" s="17"/>
      <c r="E14" s="17"/>
      <c r="F14" s="17"/>
      <c r="G14" s="17"/>
      <c r="H14" s="17"/>
      <c r="I14" s="18"/>
      <c r="J14" s="31"/>
      <c r="K14"/>
      <c r="L14"/>
      <c r="M14"/>
      <c r="N14"/>
      <c r="O14"/>
      <c r="P14"/>
      <c r="Q14"/>
      <c r="R14"/>
      <c r="S14"/>
      <c r="T14"/>
      <c r="U14"/>
    </row>
    <row r="15" spans="1:21" x14ac:dyDescent="0.25">
      <c r="A15" s="25"/>
      <c r="B15" s="34"/>
      <c r="C15" s="17"/>
      <c r="D15" s="17"/>
      <c r="E15" s="17"/>
      <c r="F15" s="17"/>
      <c r="G15" s="17"/>
      <c r="H15" s="17"/>
      <c r="I15" s="18"/>
      <c r="J15" s="31"/>
      <c r="K15"/>
      <c r="L15"/>
      <c r="M15"/>
      <c r="N15"/>
      <c r="O15"/>
      <c r="P15"/>
      <c r="Q15"/>
      <c r="R15"/>
      <c r="S15"/>
      <c r="T15"/>
      <c r="U15"/>
    </row>
    <row r="16" spans="1:21" x14ac:dyDescent="0.25">
      <c r="A16" s="25"/>
      <c r="B16" s="34"/>
      <c r="C16" s="17"/>
      <c r="D16" s="17"/>
      <c r="E16" s="17"/>
      <c r="F16" s="17"/>
      <c r="G16" s="17"/>
      <c r="H16" s="17"/>
      <c r="I16" s="18"/>
      <c r="J16" s="31"/>
      <c r="K16"/>
      <c r="L16"/>
      <c r="M16"/>
      <c r="N16"/>
      <c r="O16"/>
      <c r="P16"/>
      <c r="Q16"/>
      <c r="R16"/>
      <c r="S16"/>
      <c r="T16"/>
      <c r="U16"/>
    </row>
    <row r="17" spans="1:21" x14ac:dyDescent="0.25">
      <c r="A17" s="25"/>
      <c r="B17" s="34" t="s">
        <v>38</v>
      </c>
      <c r="C17" s="17" t="s">
        <v>245</v>
      </c>
      <c r="D17" s="17"/>
      <c r="E17" s="17"/>
      <c r="F17" s="17"/>
      <c r="G17" s="17"/>
      <c r="H17" s="17"/>
      <c r="I17" s="18"/>
      <c r="J17" s="31"/>
      <c r="K17"/>
      <c r="L17"/>
      <c r="M17"/>
      <c r="N17"/>
      <c r="O17"/>
      <c r="P17"/>
      <c r="Q17"/>
      <c r="R17"/>
      <c r="S17"/>
      <c r="T17"/>
      <c r="U17"/>
    </row>
    <row r="18" spans="1:21" ht="15" customHeight="1" x14ac:dyDescent="0.25">
      <c r="A18" s="25"/>
      <c r="B18" s="34"/>
      <c r="C18" s="17"/>
      <c r="D18" s="17"/>
      <c r="E18" s="17"/>
      <c r="F18" s="17"/>
      <c r="G18" s="17"/>
      <c r="H18" s="17"/>
      <c r="I18" s="18"/>
      <c r="J18" s="31"/>
      <c r="K18"/>
      <c r="L18"/>
      <c r="M18"/>
      <c r="N18"/>
      <c r="O18"/>
      <c r="P18"/>
      <c r="Q18"/>
      <c r="R18"/>
      <c r="S18"/>
      <c r="T18"/>
      <c r="U18"/>
    </row>
    <row r="19" spans="1:21" ht="15" customHeight="1" x14ac:dyDescent="0.25">
      <c r="A19" s="25"/>
      <c r="B19" s="34"/>
      <c r="C19" s="17"/>
      <c r="D19" s="17"/>
      <c r="E19" s="17"/>
      <c r="F19" s="17"/>
      <c r="G19" s="17"/>
      <c r="H19" s="17"/>
      <c r="I19" s="18"/>
      <c r="J19" s="31"/>
      <c r="K19"/>
      <c r="L19"/>
      <c r="M19"/>
      <c r="N19"/>
      <c r="O19"/>
      <c r="P19"/>
      <c r="Q19"/>
      <c r="R19"/>
      <c r="S19"/>
      <c r="T19"/>
      <c r="U19"/>
    </row>
    <row r="20" spans="1:21" ht="15" customHeight="1" x14ac:dyDescent="0.25">
      <c r="A20" s="25"/>
      <c r="B20" s="34" t="s">
        <v>39</v>
      </c>
      <c r="C20" s="17" t="s">
        <v>246</v>
      </c>
      <c r="D20" s="17"/>
      <c r="E20" s="17"/>
      <c r="F20" s="17"/>
      <c r="G20" s="17"/>
      <c r="H20" s="17"/>
      <c r="I20" s="18"/>
      <c r="J20" s="31"/>
      <c r="K20"/>
      <c r="L20"/>
      <c r="M20"/>
      <c r="N20"/>
      <c r="O20"/>
      <c r="P20"/>
      <c r="Q20"/>
      <c r="R20"/>
      <c r="S20"/>
      <c r="T20"/>
      <c r="U20"/>
    </row>
    <row r="21" spans="1:21" ht="15" customHeight="1" x14ac:dyDescent="0.25">
      <c r="A21" s="25"/>
      <c r="B21" s="34"/>
      <c r="C21" s="17"/>
      <c r="D21" s="17"/>
      <c r="E21" s="17"/>
      <c r="F21" s="17"/>
      <c r="G21" s="17"/>
      <c r="H21" s="17"/>
      <c r="I21" s="18"/>
      <c r="J21" s="31"/>
      <c r="K21"/>
      <c r="L21"/>
      <c r="M21"/>
      <c r="N21"/>
      <c r="O21"/>
      <c r="P21"/>
      <c r="Q21"/>
      <c r="R21"/>
      <c r="S21"/>
      <c r="T21"/>
      <c r="U21"/>
    </row>
    <row r="22" spans="1:21" ht="15" customHeight="1" x14ac:dyDescent="0.25">
      <c r="A22" s="25"/>
      <c r="B22" s="34"/>
      <c r="C22" s="17"/>
      <c r="D22" s="17"/>
      <c r="E22" s="17"/>
      <c r="F22" s="17"/>
      <c r="G22" s="17"/>
      <c r="H22" s="17"/>
      <c r="I22" s="18"/>
      <c r="J22" s="31"/>
      <c r="K22"/>
      <c r="L22"/>
      <c r="M22"/>
      <c r="N22"/>
      <c r="O22"/>
      <c r="P22"/>
      <c r="Q22"/>
      <c r="R22"/>
      <c r="S22"/>
      <c r="T22"/>
      <c r="U22"/>
    </row>
    <row r="23" spans="1:21" ht="15" customHeight="1" x14ac:dyDescent="0.25">
      <c r="A23" s="25"/>
      <c r="B23" s="34"/>
      <c r="C23" s="17"/>
      <c r="D23" s="17"/>
      <c r="E23" s="17"/>
      <c r="F23" s="17"/>
      <c r="G23" s="17"/>
      <c r="H23" s="17"/>
      <c r="I23" s="18"/>
      <c r="J23" s="31"/>
      <c r="K23"/>
      <c r="L23"/>
      <c r="M23"/>
      <c r="N23"/>
      <c r="O23"/>
      <c r="P23"/>
      <c r="Q23"/>
      <c r="R23"/>
      <c r="S23"/>
      <c r="T23"/>
      <c r="U23"/>
    </row>
    <row r="24" spans="1:21" ht="15" customHeight="1" x14ac:dyDescent="0.25">
      <c r="A24" s="25"/>
      <c r="B24" s="34"/>
      <c r="C24" s="17"/>
      <c r="D24" s="17"/>
      <c r="E24" s="17"/>
      <c r="F24" s="17"/>
      <c r="G24" s="17"/>
      <c r="H24" s="17"/>
      <c r="I24" s="18"/>
      <c r="J24" s="31"/>
      <c r="K24"/>
      <c r="L24"/>
      <c r="M24"/>
      <c r="N24"/>
      <c r="O24"/>
      <c r="P24"/>
      <c r="Q24"/>
      <c r="R24"/>
      <c r="S24"/>
      <c r="T24"/>
      <c r="U24"/>
    </row>
    <row r="25" spans="1:21" ht="15" customHeight="1" x14ac:dyDescent="0.25">
      <c r="A25" s="25"/>
      <c r="B25" s="34"/>
      <c r="C25" s="17"/>
      <c r="D25" s="17"/>
      <c r="E25" s="17"/>
      <c r="F25" s="17"/>
      <c r="G25" s="17"/>
      <c r="H25" s="17"/>
      <c r="I25" s="18"/>
      <c r="J25" s="31"/>
      <c r="K25"/>
      <c r="L25"/>
      <c r="M25"/>
      <c r="N25"/>
      <c r="O25"/>
      <c r="P25"/>
      <c r="Q25"/>
      <c r="R25"/>
      <c r="S25"/>
      <c r="T25"/>
      <c r="U25"/>
    </row>
    <row r="26" spans="1:21" ht="15" customHeight="1" x14ac:dyDescent="0.25">
      <c r="A26" s="25"/>
      <c r="B26" s="34"/>
      <c r="C26" s="17"/>
      <c r="D26" s="17"/>
      <c r="E26" s="17"/>
      <c r="F26" s="17"/>
      <c r="G26" s="17"/>
      <c r="H26" s="17"/>
      <c r="I26" s="18"/>
      <c r="J26" s="31"/>
      <c r="K26"/>
      <c r="L26"/>
      <c r="M26"/>
      <c r="N26"/>
      <c r="O26"/>
      <c r="P26"/>
      <c r="Q26"/>
      <c r="R26"/>
      <c r="S26"/>
      <c r="T26"/>
      <c r="U26"/>
    </row>
    <row r="27" spans="1:21" ht="15" customHeight="1" x14ac:dyDescent="0.25">
      <c r="A27" s="25"/>
      <c r="B27" s="17"/>
      <c r="C27" s="17"/>
      <c r="D27" s="17"/>
      <c r="E27" s="17"/>
      <c r="F27" s="17"/>
      <c r="G27" s="17"/>
      <c r="H27" s="17"/>
      <c r="I27" s="18"/>
      <c r="J27" s="31"/>
      <c r="K27"/>
      <c r="L27"/>
      <c r="M27"/>
      <c r="N27"/>
      <c r="O27"/>
      <c r="P27"/>
      <c r="Q27"/>
      <c r="R27"/>
      <c r="S27"/>
      <c r="T27"/>
      <c r="U27"/>
    </row>
    <row r="28" spans="1:21" ht="15" customHeight="1" x14ac:dyDescent="0.25">
      <c r="A28" s="25"/>
      <c r="B28" s="17"/>
      <c r="C28" s="17"/>
      <c r="D28" s="17"/>
      <c r="E28" s="17"/>
      <c r="F28" s="17"/>
      <c r="G28" s="17"/>
      <c r="H28" s="17"/>
      <c r="I28" s="18"/>
      <c r="J28" s="31"/>
      <c r="K28"/>
      <c r="L28"/>
      <c r="M28"/>
      <c r="N28"/>
      <c r="O28"/>
      <c r="P28"/>
      <c r="Q28"/>
      <c r="R28"/>
      <c r="S28"/>
      <c r="T28"/>
      <c r="U28"/>
    </row>
    <row r="29" spans="1:21" ht="15" customHeight="1" x14ac:dyDescent="0.25">
      <c r="A29" s="22"/>
      <c r="B29" s="17"/>
      <c r="C29" s="17"/>
      <c r="D29" s="17"/>
      <c r="E29" s="17"/>
      <c r="F29" s="17"/>
      <c r="G29" s="17"/>
      <c r="H29" s="17"/>
      <c r="I29" s="18"/>
      <c r="J29" s="31"/>
      <c r="K29"/>
      <c r="L29"/>
      <c r="M29"/>
      <c r="N29"/>
      <c r="O29"/>
      <c r="P29"/>
      <c r="Q29"/>
      <c r="R29"/>
      <c r="S29"/>
      <c r="T29"/>
      <c r="U29"/>
    </row>
    <row r="30" spans="1:21" ht="15" customHeight="1" thickBot="1" x14ac:dyDescent="0.3">
      <c r="A30" s="24"/>
      <c r="B30" s="32"/>
      <c r="C30" s="32"/>
      <c r="D30" s="32"/>
      <c r="E30" s="32"/>
      <c r="F30" s="32"/>
      <c r="G30" s="32"/>
      <c r="H30" s="32"/>
      <c r="I30" s="33"/>
      <c r="J30" s="31"/>
      <c r="K30"/>
      <c r="L30"/>
      <c r="M30"/>
      <c r="N30"/>
      <c r="O30"/>
      <c r="P30"/>
      <c r="Q30"/>
      <c r="R30"/>
      <c r="S30"/>
      <c r="T30"/>
      <c r="U30"/>
    </row>
    <row r="31" spans="1:21" ht="15" customHeight="1" x14ac:dyDescent="0.25">
      <c r="B31" s="31"/>
      <c r="C31" s="31"/>
      <c r="D31" s="31"/>
      <c r="E31" s="31"/>
      <c r="F31" s="31"/>
      <c r="G31" s="31"/>
      <c r="H31" s="31"/>
      <c r="I31" s="31"/>
      <c r="J31" s="31"/>
      <c r="K31"/>
      <c r="L31"/>
      <c r="M31"/>
      <c r="N31"/>
      <c r="O31"/>
      <c r="P31"/>
      <c r="Q31"/>
      <c r="R31"/>
      <c r="S31"/>
      <c r="T31"/>
      <c r="U31"/>
    </row>
    <row r="32" spans="1:21" ht="15" customHeight="1" x14ac:dyDescent="0.25">
      <c r="J32" s="31"/>
      <c r="K32"/>
      <c r="L32"/>
      <c r="M32"/>
      <c r="N32"/>
      <c r="O32"/>
      <c r="P32"/>
      <c r="Q32"/>
      <c r="R32"/>
      <c r="S32"/>
      <c r="T32"/>
      <c r="U32"/>
    </row>
    <row r="33" spans="2:21" ht="15" customHeight="1" x14ac:dyDescent="0.25">
      <c r="J33" s="31"/>
      <c r="K33"/>
      <c r="L33"/>
      <c r="M33"/>
      <c r="N33"/>
      <c r="O33"/>
      <c r="P33"/>
      <c r="Q33"/>
      <c r="R33"/>
      <c r="S33"/>
      <c r="T33"/>
      <c r="U33"/>
    </row>
    <row r="34" spans="2:21" ht="15" customHeight="1" x14ac:dyDescent="0.25">
      <c r="J34" s="31"/>
      <c r="K34"/>
      <c r="L34"/>
      <c r="M34"/>
      <c r="N34"/>
      <c r="O34"/>
      <c r="P34"/>
      <c r="Q34"/>
      <c r="R34"/>
      <c r="S34"/>
      <c r="T34"/>
      <c r="U34"/>
    </row>
    <row r="35" spans="2:21" ht="15" customHeight="1" x14ac:dyDescent="0.25">
      <c r="J35" s="31"/>
      <c r="K35"/>
      <c r="L35"/>
      <c r="M35"/>
      <c r="N35"/>
      <c r="O35"/>
      <c r="P35"/>
      <c r="Q35"/>
      <c r="R35"/>
      <c r="S35"/>
      <c r="T35"/>
      <c r="U35"/>
    </row>
    <row r="36" spans="2:21" ht="15" customHeight="1" x14ac:dyDescent="0.25">
      <c r="J36" s="31"/>
      <c r="K36"/>
      <c r="L36"/>
      <c r="M36"/>
      <c r="N36"/>
      <c r="O36"/>
      <c r="P36"/>
      <c r="Q36"/>
      <c r="R36"/>
      <c r="S36"/>
      <c r="T36"/>
      <c r="U36"/>
    </row>
    <row r="37" spans="2:21" ht="15" customHeight="1" x14ac:dyDescent="0.25">
      <c r="J37" s="31"/>
      <c r="K37"/>
      <c r="L37"/>
      <c r="M37"/>
      <c r="N37"/>
      <c r="O37"/>
      <c r="P37"/>
      <c r="Q37"/>
      <c r="R37"/>
      <c r="S37"/>
      <c r="T37"/>
      <c r="U37"/>
    </row>
    <row r="38" spans="2:21" ht="15" customHeight="1" x14ac:dyDescent="0.25">
      <c r="J38" s="31"/>
      <c r="K38"/>
      <c r="L38"/>
      <c r="M38"/>
      <c r="N38"/>
      <c r="O38"/>
      <c r="P38"/>
      <c r="Q38"/>
      <c r="R38"/>
      <c r="S38"/>
      <c r="T38"/>
      <c r="U38"/>
    </row>
    <row r="39" spans="2:21" ht="15" customHeight="1" x14ac:dyDescent="0.25">
      <c r="J39" s="31"/>
      <c r="K39"/>
      <c r="L39"/>
      <c r="M39"/>
      <c r="N39"/>
      <c r="O39"/>
      <c r="P39"/>
      <c r="Q39"/>
      <c r="R39"/>
      <c r="S39"/>
      <c r="T39"/>
      <c r="U39"/>
    </row>
    <row r="40" spans="2:21" ht="15" customHeight="1" x14ac:dyDescent="0.25">
      <c r="J40" s="31"/>
      <c r="K40"/>
      <c r="L40"/>
      <c r="M40"/>
      <c r="N40"/>
      <c r="O40"/>
      <c r="P40"/>
      <c r="Q40"/>
      <c r="R40"/>
      <c r="S40"/>
      <c r="T40"/>
      <c r="U40"/>
    </row>
    <row r="41" spans="2:21" ht="15" customHeight="1" x14ac:dyDescent="0.25">
      <c r="J41" s="31"/>
      <c r="K41"/>
      <c r="L41"/>
      <c r="M41"/>
      <c r="N41"/>
      <c r="O41"/>
      <c r="P41"/>
      <c r="Q41"/>
      <c r="R41"/>
      <c r="S41"/>
      <c r="T41"/>
      <c r="U41"/>
    </row>
    <row r="42" spans="2:21" ht="15" customHeight="1" x14ac:dyDescent="0.25">
      <c r="J42" s="31"/>
      <c r="K42"/>
      <c r="L42"/>
      <c r="M42"/>
      <c r="N42"/>
      <c r="O42"/>
      <c r="P42"/>
      <c r="Q42"/>
      <c r="R42"/>
      <c r="S42"/>
      <c r="T42"/>
      <c r="U42"/>
    </row>
    <row r="43" spans="2:21" ht="15" customHeight="1" x14ac:dyDescent="0.25">
      <c r="J43" s="31"/>
      <c r="K43"/>
      <c r="L43"/>
      <c r="M43"/>
      <c r="N43"/>
      <c r="O43"/>
      <c r="P43"/>
      <c r="Q43"/>
      <c r="R43"/>
      <c r="S43"/>
      <c r="T43"/>
      <c r="U43"/>
    </row>
    <row r="44" spans="2:21" ht="15" customHeight="1" x14ac:dyDescent="0.25">
      <c r="J44" s="31"/>
      <c r="K44"/>
      <c r="L44"/>
      <c r="M44"/>
      <c r="N44"/>
      <c r="O44"/>
      <c r="P44"/>
      <c r="Q44"/>
      <c r="R44"/>
      <c r="S44"/>
      <c r="T44"/>
      <c r="U44"/>
    </row>
    <row r="45" spans="2:21" ht="15" customHeight="1" x14ac:dyDescent="0.25">
      <c r="J45" s="31"/>
      <c r="K45"/>
      <c r="L45"/>
      <c r="M45"/>
      <c r="N45"/>
      <c r="O45"/>
      <c r="P45"/>
      <c r="Q45"/>
      <c r="R45"/>
      <c r="S45"/>
      <c r="T45"/>
      <c r="U45"/>
    </row>
    <row r="46" spans="2:21" ht="15" customHeight="1" x14ac:dyDescent="0.25">
      <c r="B46" s="31"/>
      <c r="C46" s="31"/>
      <c r="D46" s="31"/>
      <c r="E46" s="31"/>
      <c r="F46" s="31"/>
      <c r="G46" s="31"/>
      <c r="H46" s="31"/>
      <c r="I46" s="31"/>
      <c r="J46" s="31"/>
      <c r="K46"/>
      <c r="L46"/>
      <c r="M46"/>
      <c r="N46"/>
      <c r="O46"/>
      <c r="P46"/>
      <c r="Q46"/>
      <c r="R46"/>
      <c r="S46"/>
      <c r="T46"/>
      <c r="U46"/>
    </row>
    <row r="47" spans="2:21" ht="15" customHeight="1" x14ac:dyDescent="0.25">
      <c r="B47" s="31"/>
      <c r="C47" s="31"/>
      <c r="D47" s="31"/>
      <c r="E47" s="31"/>
      <c r="F47" s="31"/>
      <c r="G47" s="31"/>
      <c r="H47" s="31"/>
      <c r="I47" s="31"/>
      <c r="J47" s="31"/>
      <c r="K47"/>
      <c r="L47"/>
      <c r="M47"/>
      <c r="N47"/>
      <c r="O47"/>
      <c r="P47"/>
      <c r="Q47"/>
      <c r="R47"/>
      <c r="S47"/>
      <c r="T47"/>
      <c r="U47"/>
    </row>
    <row r="48" spans="2:21" ht="15" customHeight="1" x14ac:dyDescent="0.25">
      <c r="B48" s="31"/>
      <c r="C48" s="31"/>
      <c r="D48" s="31"/>
      <c r="E48" s="31"/>
      <c r="F48" s="31"/>
      <c r="G48" s="31"/>
      <c r="H48" s="31"/>
      <c r="I48" s="31"/>
      <c r="J48" s="31"/>
      <c r="K48"/>
      <c r="L48"/>
      <c r="M48"/>
      <c r="N48"/>
      <c r="O48"/>
      <c r="P48"/>
      <c r="Q48"/>
      <c r="R48"/>
      <c r="S48"/>
      <c r="T48"/>
      <c r="U48"/>
    </row>
    <row r="49" spans="2:21" ht="15" customHeight="1" x14ac:dyDescent="0.25">
      <c r="B49" s="31"/>
      <c r="C49" s="31"/>
      <c r="D49" s="31"/>
      <c r="E49" s="31"/>
      <c r="F49" s="31"/>
      <c r="G49" s="31"/>
      <c r="H49" s="31"/>
      <c r="I49" s="31"/>
      <c r="J49" s="31"/>
      <c r="K49"/>
      <c r="L49"/>
      <c r="M49"/>
      <c r="N49"/>
      <c r="O49"/>
      <c r="P49"/>
      <c r="Q49"/>
      <c r="R49"/>
      <c r="S49"/>
      <c r="T49"/>
      <c r="U49"/>
    </row>
    <row r="50" spans="2:21" ht="15" customHeight="1" x14ac:dyDescent="0.25">
      <c r="B50" s="31"/>
      <c r="C50" s="31"/>
      <c r="D50" s="31"/>
      <c r="E50" s="31"/>
      <c r="F50" s="31"/>
      <c r="G50" s="31"/>
      <c r="H50" s="31"/>
      <c r="I50" s="31"/>
      <c r="J50" s="31"/>
      <c r="K50"/>
      <c r="L50"/>
      <c r="M50"/>
      <c r="N50"/>
      <c r="O50"/>
      <c r="P50"/>
      <c r="Q50"/>
      <c r="R50"/>
      <c r="S50"/>
      <c r="T50"/>
      <c r="U50"/>
    </row>
    <row r="51" spans="2:21" ht="15" customHeight="1" x14ac:dyDescent="0.25">
      <c r="B51" s="31"/>
      <c r="C51" s="31"/>
      <c r="D51" s="31"/>
      <c r="E51" s="31"/>
      <c r="F51" s="31"/>
      <c r="G51" s="31"/>
      <c r="H51" s="31"/>
      <c r="I51" s="31"/>
      <c r="J51" s="31"/>
      <c r="K51"/>
      <c r="L51"/>
      <c r="M51"/>
      <c r="N51"/>
      <c r="O51"/>
      <c r="P51"/>
      <c r="Q51"/>
      <c r="R51"/>
      <c r="S51"/>
      <c r="T51"/>
      <c r="U51"/>
    </row>
    <row r="52" spans="2:21" ht="15" customHeight="1" x14ac:dyDescent="0.25">
      <c r="B52" s="31"/>
      <c r="C52" s="31"/>
      <c r="D52" s="31"/>
      <c r="E52" s="31"/>
      <c r="F52" s="31"/>
      <c r="G52" s="31"/>
      <c r="H52" s="31"/>
      <c r="I52" s="31"/>
      <c r="J52" s="31"/>
      <c r="K52"/>
      <c r="L52"/>
      <c r="M52"/>
      <c r="N52"/>
      <c r="O52"/>
      <c r="P52"/>
      <c r="Q52"/>
      <c r="R52"/>
      <c r="S52"/>
      <c r="T52"/>
      <c r="U52"/>
    </row>
    <row r="53" spans="2:21" ht="15" customHeight="1" x14ac:dyDescent="0.25">
      <c r="B53" s="31"/>
      <c r="C53" s="31"/>
      <c r="D53" s="31"/>
      <c r="E53" s="31"/>
      <c r="F53" s="31"/>
      <c r="G53" s="31"/>
      <c r="H53" s="31"/>
      <c r="I53" s="31"/>
      <c r="J53" s="31"/>
      <c r="K53"/>
      <c r="L53"/>
      <c r="M53"/>
      <c r="N53"/>
      <c r="O53"/>
      <c r="P53"/>
      <c r="Q53"/>
      <c r="R53"/>
      <c r="S53"/>
      <c r="T53"/>
      <c r="U53"/>
    </row>
    <row r="54" spans="2:21" ht="15" customHeight="1" x14ac:dyDescent="0.25">
      <c r="B54" s="31"/>
      <c r="C54" s="31"/>
      <c r="D54" s="31"/>
      <c r="E54" s="31"/>
      <c r="F54" s="31"/>
      <c r="G54" s="31"/>
      <c r="H54" s="31"/>
      <c r="I54" s="31"/>
      <c r="J54" s="31"/>
      <c r="K54"/>
      <c r="L54"/>
      <c r="M54"/>
      <c r="N54"/>
      <c r="O54"/>
      <c r="P54"/>
      <c r="Q54"/>
      <c r="R54"/>
      <c r="S54"/>
      <c r="T54"/>
      <c r="U54"/>
    </row>
    <row r="55" spans="2:21" ht="15" customHeight="1" x14ac:dyDescent="0.25">
      <c r="B55" s="31"/>
      <c r="C55" s="31"/>
      <c r="D55" s="31"/>
      <c r="E55" s="31"/>
      <c r="F55" s="31"/>
      <c r="G55" s="31"/>
      <c r="H55" s="31"/>
      <c r="I55" s="31"/>
      <c r="J55" s="31"/>
      <c r="K55"/>
      <c r="L55"/>
      <c r="M55"/>
      <c r="N55"/>
      <c r="O55"/>
      <c r="P55"/>
      <c r="Q55"/>
      <c r="R55"/>
      <c r="S55"/>
      <c r="T55"/>
      <c r="U55"/>
    </row>
    <row r="56" spans="2:21" ht="15" customHeight="1" x14ac:dyDescent="0.25">
      <c r="B56" s="31"/>
      <c r="C56" s="31"/>
      <c r="D56" s="31"/>
      <c r="E56" s="31"/>
      <c r="F56" s="31"/>
      <c r="G56" s="31"/>
      <c r="H56" s="31"/>
      <c r="I56" s="31"/>
      <c r="J56" s="31"/>
      <c r="K56"/>
      <c r="L56"/>
      <c r="M56"/>
      <c r="N56"/>
      <c r="O56"/>
      <c r="P56"/>
      <c r="Q56"/>
      <c r="R56"/>
      <c r="S56"/>
      <c r="T56"/>
      <c r="U56"/>
    </row>
    <row r="57" spans="2:21" ht="15" customHeight="1" x14ac:dyDescent="0.25">
      <c r="B57" s="31"/>
      <c r="C57" s="31"/>
      <c r="D57" s="31"/>
      <c r="E57" s="31"/>
      <c r="F57" s="31"/>
      <c r="G57" s="31"/>
      <c r="H57" s="31"/>
      <c r="I57" s="31"/>
      <c r="J57" s="31"/>
      <c r="K57"/>
      <c r="L57"/>
      <c r="M57"/>
      <c r="N57"/>
      <c r="O57"/>
      <c r="P57"/>
      <c r="Q57"/>
      <c r="R57"/>
      <c r="S57"/>
      <c r="T57"/>
      <c r="U57"/>
    </row>
    <row r="58" spans="2:21" ht="15" customHeight="1" x14ac:dyDescent="0.25">
      <c r="B58" s="31"/>
      <c r="C58" s="31"/>
      <c r="D58" s="31"/>
      <c r="E58" s="31"/>
      <c r="F58" s="31"/>
      <c r="G58" s="31"/>
      <c r="H58" s="31"/>
      <c r="I58" s="31"/>
      <c r="J58" s="31"/>
      <c r="K58"/>
      <c r="L58"/>
      <c r="M58"/>
      <c r="N58"/>
      <c r="O58"/>
      <c r="P58"/>
      <c r="Q58"/>
      <c r="R58"/>
      <c r="S58"/>
      <c r="T58"/>
      <c r="U58"/>
    </row>
    <row r="59" spans="2:21" ht="15" customHeight="1" x14ac:dyDescent="0.25">
      <c r="B59" s="31"/>
      <c r="C59" s="31"/>
      <c r="D59" s="31"/>
      <c r="E59" s="31"/>
      <c r="F59" s="31"/>
      <c r="G59" s="31"/>
      <c r="H59" s="31"/>
      <c r="I59" s="31"/>
      <c r="J59" s="31"/>
      <c r="K59"/>
      <c r="L59"/>
      <c r="M59"/>
      <c r="N59"/>
      <c r="O59"/>
      <c r="P59"/>
      <c r="Q59"/>
      <c r="R59"/>
      <c r="S59"/>
      <c r="T59"/>
      <c r="U59"/>
    </row>
    <row r="60" spans="2:21" ht="15" customHeight="1" x14ac:dyDescent="0.25">
      <c r="B60" s="31"/>
      <c r="C60" s="31"/>
      <c r="D60" s="31"/>
      <c r="E60" s="31"/>
      <c r="F60" s="31"/>
      <c r="G60" s="31"/>
      <c r="H60" s="31"/>
      <c r="I60" s="31"/>
      <c r="J60" s="31"/>
      <c r="K60"/>
      <c r="L60"/>
      <c r="M60"/>
      <c r="N60"/>
      <c r="O60"/>
      <c r="P60"/>
      <c r="Q60"/>
      <c r="R60"/>
      <c r="S60"/>
      <c r="T60"/>
      <c r="U60"/>
    </row>
    <row r="61" spans="2:21" ht="15" customHeight="1" x14ac:dyDescent="0.25">
      <c r="B61" s="31"/>
      <c r="C61" s="31"/>
      <c r="D61" s="31"/>
      <c r="E61" s="31"/>
      <c r="F61" s="31"/>
      <c r="G61" s="31"/>
      <c r="H61" s="31"/>
      <c r="I61" s="31"/>
      <c r="J61" s="31"/>
      <c r="K61"/>
      <c r="L61"/>
      <c r="M61"/>
      <c r="N61"/>
      <c r="O61"/>
      <c r="P61"/>
      <c r="Q61"/>
      <c r="R61"/>
      <c r="S61"/>
      <c r="T61"/>
      <c r="U61"/>
    </row>
    <row r="62" spans="2:21" ht="15" customHeight="1" x14ac:dyDescent="0.25">
      <c r="B62" s="31"/>
      <c r="C62" s="31"/>
      <c r="D62" s="31"/>
      <c r="E62" s="31"/>
      <c r="F62" s="31"/>
      <c r="G62" s="31"/>
      <c r="H62" s="31"/>
      <c r="I62" s="31"/>
      <c r="J62" s="31"/>
      <c r="K62"/>
      <c r="L62"/>
      <c r="M62"/>
      <c r="N62"/>
      <c r="O62"/>
      <c r="P62"/>
      <c r="Q62"/>
      <c r="R62"/>
      <c r="S62"/>
      <c r="T62"/>
      <c r="U62"/>
    </row>
    <row r="63" spans="2:21" ht="15" customHeight="1" x14ac:dyDescent="0.25">
      <c r="B63" s="31"/>
      <c r="C63" s="31"/>
      <c r="D63" s="31"/>
      <c r="E63" s="31"/>
      <c r="F63" s="31"/>
      <c r="G63" s="31"/>
      <c r="H63" s="31"/>
      <c r="I63" s="31"/>
      <c r="J63" s="31"/>
      <c r="K63"/>
      <c r="L63"/>
      <c r="M63"/>
      <c r="N63"/>
      <c r="O63"/>
      <c r="P63"/>
      <c r="Q63"/>
      <c r="R63"/>
      <c r="S63"/>
      <c r="T63"/>
      <c r="U63"/>
    </row>
    <row r="64" spans="2:21" ht="15" customHeight="1" x14ac:dyDescent="0.25">
      <c r="B64" s="31"/>
      <c r="C64" s="31"/>
      <c r="D64" s="31"/>
      <c r="E64" s="31"/>
      <c r="F64" s="31"/>
      <c r="G64" s="31"/>
      <c r="H64" s="31"/>
      <c r="I64" s="31"/>
      <c r="J64" s="31"/>
      <c r="K64"/>
      <c r="L64"/>
      <c r="M64"/>
      <c r="N64"/>
      <c r="O64"/>
      <c r="P64"/>
      <c r="Q64"/>
      <c r="R64"/>
      <c r="S64"/>
      <c r="T64"/>
      <c r="U64"/>
    </row>
    <row r="65" spans="2:21" ht="15" customHeight="1" x14ac:dyDescent="0.25">
      <c r="B65" s="31"/>
      <c r="C65" s="31"/>
      <c r="D65" s="31"/>
      <c r="E65" s="31"/>
      <c r="F65" s="31"/>
      <c r="G65" s="31"/>
      <c r="H65" s="31"/>
      <c r="I65" s="31"/>
      <c r="J65" s="31"/>
      <c r="K65"/>
      <c r="L65"/>
      <c r="M65"/>
      <c r="N65"/>
      <c r="O65"/>
      <c r="P65"/>
      <c r="Q65"/>
      <c r="R65"/>
      <c r="S65"/>
      <c r="T65"/>
      <c r="U65"/>
    </row>
    <row r="66" spans="2:21" ht="15" customHeight="1" x14ac:dyDescent="0.25">
      <c r="B66" s="31"/>
      <c r="C66" s="31"/>
      <c r="D66" s="31"/>
      <c r="E66" s="31"/>
      <c r="F66" s="31"/>
      <c r="G66" s="31"/>
      <c r="H66" s="31"/>
      <c r="I66" s="31"/>
      <c r="J66" s="31"/>
      <c r="K66"/>
      <c r="L66"/>
      <c r="M66"/>
      <c r="N66"/>
      <c r="O66"/>
      <c r="P66"/>
      <c r="Q66"/>
      <c r="R66"/>
      <c r="S66"/>
      <c r="T66"/>
      <c r="U66"/>
    </row>
    <row r="67" spans="2:21" ht="15" customHeight="1" x14ac:dyDescent="0.25">
      <c r="B67" s="31"/>
      <c r="C67" s="31"/>
      <c r="D67" s="31"/>
      <c r="E67" s="31"/>
      <c r="F67" s="31"/>
      <c r="G67" s="31"/>
      <c r="H67" s="31"/>
      <c r="I67" s="31"/>
      <c r="J67" s="31"/>
      <c r="K67"/>
      <c r="L67"/>
      <c r="M67"/>
      <c r="N67"/>
      <c r="O67"/>
      <c r="P67"/>
      <c r="Q67"/>
      <c r="R67"/>
      <c r="S67"/>
      <c r="T67"/>
      <c r="U67"/>
    </row>
    <row r="68" spans="2:21" ht="15" customHeight="1" x14ac:dyDescent="0.25">
      <c r="B68" s="31"/>
      <c r="C68" s="31"/>
      <c r="D68" s="31"/>
      <c r="E68" s="31"/>
      <c r="F68" s="31"/>
      <c r="G68" s="31"/>
      <c r="H68" s="31"/>
      <c r="I68" s="31"/>
      <c r="J68" s="31"/>
      <c r="K68"/>
      <c r="L68"/>
      <c r="M68"/>
      <c r="N68"/>
      <c r="O68"/>
      <c r="P68"/>
      <c r="Q68"/>
      <c r="R68"/>
      <c r="S68"/>
      <c r="T68"/>
      <c r="U68"/>
    </row>
    <row r="69" spans="2:21" ht="15" customHeight="1" x14ac:dyDescent="0.25">
      <c r="B69" s="31"/>
      <c r="C69" s="31"/>
      <c r="D69" s="31"/>
      <c r="E69" s="31"/>
      <c r="F69" s="31"/>
      <c r="G69" s="31"/>
      <c r="H69" s="31"/>
      <c r="I69" s="31"/>
      <c r="J69" s="31"/>
      <c r="K69"/>
      <c r="L69"/>
      <c r="M69"/>
      <c r="N69"/>
      <c r="O69"/>
      <c r="P69"/>
      <c r="Q69"/>
      <c r="R69"/>
      <c r="S69"/>
      <c r="T69"/>
      <c r="U69"/>
    </row>
    <row r="70" spans="2:21" ht="15" customHeight="1" x14ac:dyDescent="0.25">
      <c r="B70" s="31"/>
      <c r="C70" s="31"/>
      <c r="D70" s="31"/>
      <c r="E70" s="31"/>
      <c r="F70" s="31"/>
      <c r="G70" s="31"/>
      <c r="H70" s="31"/>
      <c r="I70" s="31"/>
      <c r="J70" s="31"/>
      <c r="K70"/>
      <c r="L70"/>
      <c r="M70"/>
      <c r="N70"/>
      <c r="O70"/>
      <c r="P70"/>
      <c r="Q70"/>
      <c r="R70"/>
      <c r="S70"/>
      <c r="T70"/>
      <c r="U70"/>
    </row>
    <row r="71" spans="2:21" ht="15" customHeight="1" x14ac:dyDescent="0.25">
      <c r="B71" s="31"/>
      <c r="C71" s="31"/>
      <c r="D71" s="31"/>
      <c r="E71" s="31"/>
      <c r="F71" s="31"/>
      <c r="G71" s="31"/>
      <c r="H71" s="31"/>
      <c r="I71" s="31"/>
      <c r="J71" s="31"/>
      <c r="K71"/>
      <c r="L71"/>
      <c r="M71"/>
      <c r="N71"/>
      <c r="O71"/>
      <c r="P71"/>
      <c r="Q71"/>
      <c r="R71"/>
      <c r="S71"/>
      <c r="T71"/>
      <c r="U71"/>
    </row>
    <row r="72" spans="2:21" ht="15" customHeight="1" x14ac:dyDescent="0.25">
      <c r="B72" s="31"/>
      <c r="C72" s="31"/>
      <c r="D72" s="31"/>
      <c r="E72" s="31"/>
      <c r="F72" s="31"/>
      <c r="G72" s="31"/>
      <c r="H72" s="31"/>
      <c r="I72" s="31"/>
      <c r="J72" s="31"/>
      <c r="K72"/>
      <c r="L72"/>
      <c r="M72"/>
      <c r="N72"/>
      <c r="O72"/>
      <c r="P72"/>
      <c r="Q72"/>
      <c r="R72"/>
      <c r="S72"/>
      <c r="T72"/>
      <c r="U72"/>
    </row>
    <row r="73" spans="2:21" ht="15" customHeight="1" x14ac:dyDescent="0.25">
      <c r="B73" s="31"/>
      <c r="C73" s="31"/>
      <c r="D73" s="31"/>
      <c r="E73" s="31"/>
      <c r="F73" s="31"/>
      <c r="G73" s="31"/>
      <c r="H73" s="31"/>
      <c r="I73" s="31"/>
      <c r="J73" s="31"/>
      <c r="K73"/>
      <c r="L73"/>
      <c r="M73"/>
      <c r="N73"/>
      <c r="O73"/>
      <c r="P73"/>
      <c r="Q73"/>
      <c r="R73"/>
      <c r="S73"/>
      <c r="T73"/>
      <c r="U73"/>
    </row>
    <row r="74" spans="2:21" ht="15" customHeight="1" x14ac:dyDescent="0.25">
      <c r="B74" s="31"/>
      <c r="C74" s="31"/>
      <c r="D74" s="31"/>
      <c r="E74" s="31"/>
      <c r="F74" s="31"/>
      <c r="G74" s="31"/>
      <c r="H74" s="31"/>
      <c r="I74" s="31"/>
      <c r="J74" s="31"/>
      <c r="K74"/>
      <c r="L74"/>
      <c r="M74"/>
      <c r="N74"/>
      <c r="O74"/>
      <c r="P74"/>
      <c r="Q74"/>
      <c r="R74"/>
      <c r="S74"/>
      <c r="T74"/>
      <c r="U74"/>
    </row>
    <row r="75" spans="2:21" ht="15" customHeight="1" x14ac:dyDescent="0.25">
      <c r="B75" s="31"/>
      <c r="C75" s="31"/>
      <c r="D75" s="31"/>
      <c r="E75" s="31"/>
      <c r="F75" s="31"/>
      <c r="G75" s="31"/>
      <c r="H75" s="31"/>
      <c r="I75" s="31"/>
      <c r="J75" s="31"/>
      <c r="K75"/>
      <c r="L75"/>
      <c r="M75"/>
      <c r="N75"/>
      <c r="O75"/>
      <c r="P75"/>
      <c r="Q75"/>
      <c r="R75"/>
      <c r="S75"/>
      <c r="T75"/>
      <c r="U75"/>
    </row>
    <row r="76" spans="2:21" ht="15" customHeight="1" x14ac:dyDescent="0.25">
      <c r="B76" s="31"/>
      <c r="C76" s="31"/>
      <c r="D76" s="31"/>
      <c r="E76" s="31"/>
      <c r="F76" s="31"/>
      <c r="G76" s="31"/>
      <c r="H76" s="31"/>
      <c r="I76" s="31"/>
      <c r="J76" s="31"/>
      <c r="K76"/>
      <c r="L76"/>
      <c r="M76"/>
      <c r="N76"/>
      <c r="O76"/>
      <c r="P76"/>
      <c r="Q76"/>
      <c r="R76"/>
      <c r="S76"/>
      <c r="T76"/>
      <c r="U76"/>
    </row>
    <row r="77" spans="2:21" ht="15" customHeight="1" x14ac:dyDescent="0.25">
      <c r="B77" s="31"/>
      <c r="C77" s="31"/>
      <c r="D77" s="31"/>
      <c r="E77" s="31"/>
      <c r="F77" s="31"/>
      <c r="G77" s="31"/>
      <c r="H77" s="31"/>
      <c r="I77" s="31"/>
      <c r="J77" s="31"/>
      <c r="K77"/>
      <c r="L77"/>
      <c r="M77"/>
      <c r="N77"/>
      <c r="O77"/>
      <c r="P77"/>
      <c r="Q77"/>
      <c r="R77"/>
      <c r="S77"/>
      <c r="T77"/>
      <c r="U77"/>
    </row>
    <row r="78" spans="2:21" ht="15" customHeight="1" x14ac:dyDescent="0.25">
      <c r="B78" s="31"/>
      <c r="C78" s="31"/>
      <c r="D78" s="31"/>
      <c r="E78" s="31"/>
      <c r="F78" s="31"/>
      <c r="G78" s="31"/>
      <c r="H78" s="31"/>
      <c r="I78" s="31"/>
      <c r="J78" s="31"/>
      <c r="K78"/>
      <c r="L78"/>
      <c r="M78"/>
      <c r="N78"/>
      <c r="O78"/>
      <c r="P78"/>
      <c r="Q78"/>
      <c r="R78"/>
      <c r="S78"/>
      <c r="T78"/>
      <c r="U78"/>
    </row>
    <row r="79" spans="2:21" ht="15" customHeight="1" x14ac:dyDescent="0.25">
      <c r="B79" s="31"/>
      <c r="C79" s="31"/>
      <c r="D79" s="31"/>
      <c r="E79" s="31"/>
      <c r="F79" s="31"/>
      <c r="G79" s="31"/>
      <c r="H79" s="31"/>
      <c r="I79" s="31"/>
      <c r="J79" s="31"/>
      <c r="K79"/>
      <c r="L79"/>
      <c r="M79"/>
      <c r="N79"/>
      <c r="O79"/>
      <c r="P79"/>
      <c r="Q79"/>
      <c r="R79"/>
      <c r="S79"/>
      <c r="T79"/>
      <c r="U79"/>
    </row>
    <row r="80" spans="2:21" ht="15" customHeight="1" x14ac:dyDescent="0.25">
      <c r="B80" s="31"/>
      <c r="C80" s="31"/>
      <c r="D80" s="31"/>
      <c r="E80" s="31"/>
      <c r="F80" s="31"/>
      <c r="G80" s="31"/>
      <c r="H80" s="31"/>
      <c r="I80" s="31"/>
      <c r="J80" s="31"/>
      <c r="K80"/>
      <c r="L80"/>
      <c r="M80"/>
      <c r="N80"/>
      <c r="O80"/>
      <c r="P80"/>
      <c r="Q80"/>
      <c r="R80"/>
      <c r="S80"/>
      <c r="T80"/>
      <c r="U80"/>
    </row>
    <row r="81" spans="2:21" ht="15" customHeight="1" x14ac:dyDescent="0.25">
      <c r="B81" s="31"/>
      <c r="C81" s="31"/>
      <c r="D81" s="31"/>
      <c r="E81" s="31"/>
      <c r="F81" s="31"/>
      <c r="G81" s="31"/>
      <c r="H81" s="31"/>
      <c r="I81" s="31"/>
      <c r="J81" s="31"/>
      <c r="K81"/>
      <c r="L81"/>
      <c r="M81"/>
      <c r="N81"/>
      <c r="O81"/>
      <c r="P81"/>
      <c r="Q81"/>
      <c r="R81"/>
      <c r="S81"/>
      <c r="T81"/>
      <c r="U81"/>
    </row>
    <row r="82" spans="2:21" ht="15" customHeight="1" x14ac:dyDescent="0.25">
      <c r="B82" s="31"/>
      <c r="C82" s="31"/>
      <c r="D82" s="31"/>
      <c r="E82" s="31"/>
      <c r="F82" s="31"/>
      <c r="G82" s="31"/>
      <c r="H82" s="31"/>
      <c r="I82" s="31"/>
      <c r="J82" s="31"/>
      <c r="K82"/>
      <c r="L82"/>
      <c r="M82"/>
      <c r="N82"/>
      <c r="O82"/>
      <c r="P82"/>
      <c r="Q82"/>
      <c r="R82"/>
      <c r="S82"/>
      <c r="T82"/>
      <c r="U82"/>
    </row>
    <row r="83" spans="2:21" ht="15" customHeight="1" x14ac:dyDescent="0.25">
      <c r="B83" s="31"/>
      <c r="C83" s="31"/>
      <c r="D83" s="31"/>
      <c r="E83" s="31"/>
      <c r="F83" s="31"/>
      <c r="G83" s="31"/>
      <c r="H83" s="31"/>
      <c r="I83" s="31"/>
      <c r="J83" s="31"/>
      <c r="K83"/>
      <c r="L83"/>
      <c r="M83"/>
      <c r="N83"/>
      <c r="O83"/>
      <c r="P83"/>
      <c r="Q83"/>
      <c r="R83"/>
      <c r="S83"/>
      <c r="T83"/>
      <c r="U83"/>
    </row>
    <row r="84" spans="2:21" ht="15" customHeight="1" x14ac:dyDescent="0.25">
      <c r="B84" s="31"/>
      <c r="C84" s="31"/>
      <c r="D84" s="31"/>
      <c r="E84" s="31"/>
      <c r="F84" s="31"/>
      <c r="G84" s="31"/>
      <c r="H84" s="31"/>
      <c r="I84" s="31"/>
      <c r="J84" s="31"/>
      <c r="K84"/>
      <c r="L84"/>
      <c r="M84"/>
      <c r="N84"/>
      <c r="O84"/>
      <c r="P84"/>
      <c r="Q84"/>
      <c r="R84"/>
      <c r="S84"/>
      <c r="T84"/>
      <c r="U84"/>
    </row>
    <row r="85" spans="2:21" ht="15" customHeight="1" x14ac:dyDescent="0.25">
      <c r="B85" s="31"/>
      <c r="C85" s="31"/>
      <c r="D85" s="31"/>
      <c r="E85" s="31"/>
      <c r="F85" s="31"/>
      <c r="G85" s="31"/>
      <c r="H85" s="31"/>
      <c r="I85" s="31"/>
      <c r="J85" s="31"/>
      <c r="K85"/>
      <c r="L85"/>
      <c r="M85"/>
      <c r="N85"/>
      <c r="O85"/>
      <c r="P85"/>
      <c r="Q85"/>
      <c r="R85"/>
      <c r="S85"/>
      <c r="T85"/>
      <c r="U85"/>
    </row>
    <row r="86" spans="2:21" ht="15" customHeight="1" x14ac:dyDescent="0.25">
      <c r="B86" s="31"/>
      <c r="C86" s="31"/>
      <c r="D86" s="31"/>
      <c r="E86" s="31"/>
      <c r="F86" s="31"/>
      <c r="G86" s="31"/>
      <c r="H86" s="31"/>
      <c r="I86" s="31"/>
      <c r="J86" s="31"/>
      <c r="K86"/>
      <c r="L86"/>
      <c r="M86"/>
      <c r="N86"/>
      <c r="O86"/>
      <c r="P86"/>
      <c r="Q86"/>
      <c r="R86"/>
      <c r="S86"/>
      <c r="T86"/>
      <c r="U86"/>
    </row>
    <row r="87" spans="2:21" ht="15" customHeight="1" x14ac:dyDescent="0.25">
      <c r="B87" s="31"/>
      <c r="C87" s="31"/>
      <c r="D87" s="31"/>
      <c r="E87" s="31"/>
      <c r="F87" s="31"/>
      <c r="G87" s="31"/>
      <c r="H87" s="31"/>
      <c r="I87" s="31"/>
      <c r="J87" s="31"/>
      <c r="K87"/>
      <c r="L87"/>
      <c r="M87"/>
      <c r="N87"/>
      <c r="O87"/>
      <c r="P87"/>
      <c r="Q87"/>
      <c r="R87"/>
      <c r="S87"/>
      <c r="T87"/>
      <c r="U87"/>
    </row>
    <row r="88" spans="2:21" ht="15" customHeight="1" x14ac:dyDescent="0.25">
      <c r="B88" s="31"/>
      <c r="C88" s="31"/>
      <c r="D88" s="31"/>
      <c r="E88" s="31"/>
      <c r="F88" s="31"/>
      <c r="G88" s="31"/>
      <c r="H88" s="31"/>
      <c r="I88" s="31"/>
      <c r="J88" s="31"/>
      <c r="K88"/>
      <c r="L88"/>
      <c r="M88"/>
      <c r="N88"/>
      <c r="O88"/>
      <c r="P88"/>
      <c r="Q88"/>
      <c r="R88"/>
      <c r="S88"/>
      <c r="T88"/>
      <c r="U88"/>
    </row>
    <row r="89" spans="2:21" ht="15" customHeight="1" x14ac:dyDescent="0.25">
      <c r="B89" s="31"/>
      <c r="C89" s="31"/>
      <c r="D89" s="31"/>
      <c r="E89" s="31"/>
      <c r="F89" s="31"/>
      <c r="G89" s="31"/>
      <c r="H89" s="31"/>
      <c r="I89" s="31"/>
      <c r="J89" s="31"/>
      <c r="K89"/>
      <c r="L89"/>
      <c r="M89"/>
      <c r="N89"/>
      <c r="O89"/>
      <c r="P89"/>
      <c r="Q89"/>
      <c r="R89"/>
      <c r="S89"/>
      <c r="T89"/>
      <c r="U89"/>
    </row>
    <row r="90" spans="2:21" ht="15" customHeight="1" x14ac:dyDescent="0.25">
      <c r="B90" s="31"/>
      <c r="C90" s="31"/>
      <c r="D90" s="31"/>
      <c r="E90" s="31"/>
      <c r="F90" s="31"/>
      <c r="G90" s="31"/>
      <c r="H90" s="31"/>
      <c r="I90" s="31"/>
      <c r="J90" s="31"/>
      <c r="K90"/>
      <c r="L90"/>
      <c r="M90"/>
      <c r="N90"/>
      <c r="O90"/>
      <c r="P90"/>
      <c r="Q90"/>
      <c r="R90"/>
      <c r="S90"/>
      <c r="T90"/>
      <c r="U90"/>
    </row>
    <row r="91" spans="2:21" ht="15" customHeight="1" x14ac:dyDescent="0.25">
      <c r="B91" s="31"/>
      <c r="C91" s="31"/>
      <c r="D91" s="31"/>
      <c r="E91" s="31"/>
      <c r="F91" s="31"/>
      <c r="G91" s="31"/>
      <c r="H91" s="31"/>
      <c r="I91" s="31"/>
      <c r="J91" s="31"/>
      <c r="K91"/>
      <c r="L91"/>
      <c r="M91"/>
      <c r="N91"/>
      <c r="O91"/>
      <c r="P91"/>
      <c r="Q91"/>
      <c r="R91"/>
      <c r="S91"/>
      <c r="T91"/>
      <c r="U91"/>
    </row>
    <row r="92" spans="2:21" ht="15" customHeight="1" x14ac:dyDescent="0.25">
      <c r="B92" s="31"/>
      <c r="C92" s="31"/>
      <c r="D92" s="31"/>
      <c r="E92" s="31"/>
      <c r="F92" s="31"/>
      <c r="G92" s="31"/>
      <c r="H92" s="31"/>
      <c r="I92" s="31"/>
      <c r="J92" s="31"/>
      <c r="K92"/>
      <c r="L92"/>
      <c r="M92"/>
      <c r="N92"/>
      <c r="O92"/>
      <c r="P92"/>
      <c r="Q92"/>
      <c r="R92"/>
      <c r="S92"/>
      <c r="T92"/>
      <c r="U92"/>
    </row>
    <row r="93" spans="2:21" ht="15" customHeight="1" x14ac:dyDescent="0.25">
      <c r="B93" s="31"/>
      <c r="C93" s="31"/>
      <c r="D93" s="31"/>
      <c r="E93" s="31"/>
      <c r="F93" s="31"/>
      <c r="G93" s="31"/>
      <c r="H93" s="31"/>
      <c r="I93" s="31"/>
      <c r="J93" s="31"/>
      <c r="K93"/>
      <c r="L93"/>
      <c r="M93"/>
      <c r="N93"/>
      <c r="O93"/>
      <c r="P93"/>
      <c r="Q93"/>
      <c r="R93"/>
      <c r="S93"/>
      <c r="T93"/>
      <c r="U93"/>
    </row>
    <row r="94" spans="2:21" ht="15" customHeight="1" x14ac:dyDescent="0.25">
      <c r="B94" s="31"/>
      <c r="C94" s="31"/>
      <c r="D94" s="31"/>
      <c r="E94" s="31"/>
      <c r="F94" s="31"/>
      <c r="G94" s="31"/>
      <c r="H94" s="31"/>
      <c r="I94" s="31"/>
      <c r="J94" s="31"/>
      <c r="K94"/>
      <c r="L94"/>
      <c r="M94"/>
      <c r="N94"/>
      <c r="O94"/>
      <c r="P94"/>
      <c r="Q94"/>
      <c r="R94"/>
      <c r="S94"/>
      <c r="T94"/>
      <c r="U94"/>
    </row>
    <row r="95" spans="2:21" ht="15" customHeight="1" x14ac:dyDescent="0.25">
      <c r="B95" s="31"/>
      <c r="C95" s="31"/>
      <c r="D95" s="31"/>
      <c r="E95" s="31"/>
      <c r="F95" s="31"/>
      <c r="G95" s="31"/>
      <c r="H95" s="31"/>
      <c r="I95" s="31"/>
      <c r="J95" s="31"/>
      <c r="K95"/>
      <c r="L95"/>
      <c r="M95"/>
      <c r="N95"/>
      <c r="O95"/>
      <c r="P95"/>
      <c r="Q95"/>
      <c r="R95"/>
      <c r="S95"/>
      <c r="T95"/>
      <c r="U95"/>
    </row>
    <row r="96" spans="2:21" ht="15" customHeight="1" x14ac:dyDescent="0.25">
      <c r="B96" s="31"/>
      <c r="C96" s="31"/>
      <c r="D96" s="31"/>
      <c r="E96" s="31"/>
      <c r="F96" s="31"/>
      <c r="G96" s="31"/>
      <c r="H96" s="31"/>
      <c r="I96" s="31"/>
      <c r="J96" s="31"/>
      <c r="K96"/>
      <c r="L96"/>
      <c r="M96"/>
      <c r="N96"/>
      <c r="O96"/>
      <c r="P96"/>
      <c r="Q96"/>
      <c r="R96"/>
      <c r="S96"/>
      <c r="T96"/>
      <c r="U96"/>
    </row>
    <row r="97" spans="2:21" ht="15" customHeight="1" x14ac:dyDescent="0.25">
      <c r="B97" s="31"/>
      <c r="C97" s="31"/>
      <c r="D97" s="31"/>
      <c r="E97" s="31"/>
      <c r="F97" s="31"/>
      <c r="G97" s="31"/>
      <c r="H97" s="31"/>
      <c r="I97" s="31"/>
      <c r="J97" s="31"/>
      <c r="K97"/>
      <c r="L97"/>
      <c r="M97"/>
      <c r="N97"/>
      <c r="O97"/>
      <c r="P97"/>
      <c r="Q97"/>
      <c r="R97"/>
      <c r="S97"/>
      <c r="T97"/>
      <c r="U97"/>
    </row>
    <row r="98" spans="2:21" ht="15" customHeight="1" x14ac:dyDescent="0.25">
      <c r="B98" s="31"/>
      <c r="C98" s="31"/>
      <c r="D98" s="31"/>
      <c r="E98" s="31"/>
      <c r="F98" s="31"/>
      <c r="G98" s="31"/>
      <c r="H98" s="31"/>
      <c r="I98" s="31"/>
      <c r="J98" s="31"/>
      <c r="K98"/>
      <c r="L98"/>
      <c r="M98"/>
      <c r="N98"/>
      <c r="O98"/>
      <c r="P98"/>
      <c r="Q98"/>
      <c r="R98"/>
      <c r="S98"/>
      <c r="T98"/>
      <c r="U98"/>
    </row>
    <row r="99" spans="2:21" ht="15" customHeight="1" x14ac:dyDescent="0.25">
      <c r="B99" s="31"/>
      <c r="C99" s="31"/>
      <c r="D99" s="31"/>
      <c r="E99" s="31"/>
      <c r="F99" s="31"/>
      <c r="G99" s="31"/>
      <c r="H99" s="31"/>
      <c r="I99" s="31"/>
      <c r="J99" s="31"/>
      <c r="K99"/>
      <c r="L99"/>
      <c r="M99"/>
      <c r="N99"/>
      <c r="O99"/>
      <c r="P99"/>
      <c r="Q99"/>
      <c r="R99"/>
      <c r="S99"/>
      <c r="T99"/>
      <c r="U99"/>
    </row>
    <row r="100" spans="2:21" ht="15" customHeight="1" x14ac:dyDescent="0.25">
      <c r="B100" s="31"/>
      <c r="C100" s="31"/>
      <c r="D100" s="31"/>
      <c r="E100" s="31"/>
      <c r="F100" s="31"/>
      <c r="G100" s="31"/>
      <c r="H100" s="31"/>
      <c r="I100" s="31"/>
      <c r="J100" s="31"/>
      <c r="K100"/>
      <c r="L100"/>
      <c r="M100"/>
      <c r="N100"/>
      <c r="O100"/>
      <c r="P100"/>
      <c r="Q100"/>
      <c r="R100"/>
      <c r="S100"/>
      <c r="T100"/>
      <c r="U100"/>
    </row>
    <row r="101" spans="2:21" ht="15" customHeight="1" x14ac:dyDescent="0.25">
      <c r="B101" s="31"/>
      <c r="C101" s="31"/>
      <c r="D101" s="31"/>
      <c r="E101" s="31"/>
      <c r="F101" s="31"/>
      <c r="G101" s="31"/>
      <c r="H101" s="31"/>
      <c r="I101" s="31"/>
      <c r="J101" s="31"/>
      <c r="K101"/>
      <c r="L101"/>
      <c r="M101"/>
      <c r="N101"/>
      <c r="O101"/>
      <c r="P101"/>
      <c r="Q101"/>
      <c r="R101"/>
      <c r="S101"/>
      <c r="T101"/>
      <c r="U101"/>
    </row>
  </sheetData>
  <mergeCells count="1">
    <mergeCell ref="H1:I1"/>
  </mergeCells>
  <conditionalFormatting sqref="B1">
    <cfRule type="cellIs" dxfId="89" priority="1" operator="equal">
      <formula>"Incomplete"</formula>
    </cfRule>
    <cfRule type="cellIs" dxfId="88" priority="2" operator="equal">
      <formula>"Flag for Review"</formula>
    </cfRule>
    <cfRule type="cellIs" dxfId="87" priority="3" operator="equal">
      <formula>"Finished"</formula>
    </cfRule>
  </conditionalFormatting>
  <dataValidations count="1">
    <dataValidation type="list" allowBlank="1" showInputMessage="1" showErrorMessage="1" sqref="B1">
      <formula1>"Finished, Flag for Review, Incomplete"</formula1>
    </dataValidation>
  </dataValidations>
  <hyperlinks>
    <hyperlink ref="H1" location="'Point Grid'!A8" display="Return to Point Grid"/>
    <hyperlink ref="H1:I1" location="'Point Grid'!A1" display="Return to Point Grid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U101"/>
  <sheetViews>
    <sheetView zoomScaleNormal="100" workbookViewId="0"/>
  </sheetViews>
  <sheetFormatPr defaultColWidth="9.140625" defaultRowHeight="15" x14ac:dyDescent="0.25"/>
  <cols>
    <col min="1" max="1" width="9.140625" style="21"/>
    <col min="2" max="2" width="16" style="21" bestFit="1" customWidth="1"/>
    <col min="3" max="9" width="11.140625" style="21" customWidth="1"/>
    <col min="10" max="16384" width="9.140625" style="21"/>
  </cols>
  <sheetData>
    <row r="1" spans="1:21" x14ac:dyDescent="0.25">
      <c r="A1" s="7">
        <v>2</v>
      </c>
      <c r="B1" s="27" t="s">
        <v>12</v>
      </c>
      <c r="C1" s="20"/>
      <c r="D1" s="20"/>
      <c r="E1" s="20"/>
      <c r="F1" s="20"/>
      <c r="G1" s="20"/>
      <c r="H1" s="384" t="s">
        <v>24</v>
      </c>
      <c r="I1" s="385"/>
      <c r="K1"/>
      <c r="L1"/>
      <c r="M1"/>
      <c r="N1"/>
      <c r="O1"/>
      <c r="P1"/>
      <c r="Q1"/>
      <c r="R1"/>
      <c r="S1"/>
      <c r="T1"/>
      <c r="U1"/>
    </row>
    <row r="2" spans="1:21" x14ac:dyDescent="0.25">
      <c r="A2" s="22"/>
      <c r="B2" s="19"/>
      <c r="C2" s="19"/>
      <c r="D2" s="19"/>
      <c r="E2" s="19"/>
      <c r="F2" s="19"/>
      <c r="G2" s="19"/>
      <c r="H2" s="19"/>
      <c r="I2" s="23"/>
      <c r="K2"/>
      <c r="L2"/>
      <c r="M2"/>
      <c r="N2"/>
      <c r="O2"/>
      <c r="P2"/>
      <c r="Q2"/>
      <c r="R2"/>
      <c r="S2"/>
      <c r="T2"/>
      <c r="U2"/>
    </row>
    <row r="3" spans="1:21" x14ac:dyDescent="0.25">
      <c r="A3" s="8" t="s">
        <v>13</v>
      </c>
      <c r="B3" s="17"/>
      <c r="C3" s="17"/>
      <c r="D3" s="17"/>
      <c r="E3" s="17"/>
      <c r="F3" s="17"/>
      <c r="G3" s="17"/>
      <c r="H3" s="17"/>
      <c r="I3" s="18"/>
      <c r="J3" s="31"/>
      <c r="K3"/>
      <c r="L3"/>
      <c r="M3"/>
      <c r="N3"/>
      <c r="O3"/>
      <c r="P3"/>
      <c r="Q3"/>
      <c r="R3"/>
      <c r="S3"/>
      <c r="T3"/>
      <c r="U3"/>
    </row>
    <row r="4" spans="1:21" x14ac:dyDescent="0.25">
      <c r="A4" s="9">
        <f>INDEX('Point Grid'!B:B,MATCH(A1,'Point Grid'!A:A,0))</f>
        <v>1</v>
      </c>
      <c r="B4" s="17" t="s">
        <v>35</v>
      </c>
      <c r="C4" s="17"/>
      <c r="D4" s="17"/>
      <c r="E4" s="17"/>
      <c r="F4" s="17"/>
      <c r="G4" s="17"/>
      <c r="H4" s="17"/>
      <c r="I4" s="18"/>
      <c r="J4" s="31"/>
      <c r="K4"/>
      <c r="L4"/>
      <c r="M4"/>
      <c r="N4"/>
      <c r="O4"/>
      <c r="P4"/>
      <c r="Q4"/>
      <c r="R4"/>
      <c r="S4"/>
      <c r="T4"/>
      <c r="U4"/>
    </row>
    <row r="5" spans="1:21" x14ac:dyDescent="0.25">
      <c r="A5" s="16"/>
      <c r="B5" s="17"/>
      <c r="C5" s="17"/>
      <c r="D5" s="17"/>
      <c r="E5" s="17"/>
      <c r="F5" s="17"/>
      <c r="G5" s="17"/>
      <c r="H5" s="17"/>
      <c r="I5" s="18"/>
      <c r="J5" s="31"/>
      <c r="K5"/>
      <c r="L5"/>
      <c r="M5"/>
      <c r="N5"/>
      <c r="O5"/>
      <c r="P5"/>
      <c r="Q5"/>
      <c r="R5"/>
      <c r="S5"/>
      <c r="T5"/>
      <c r="U5"/>
    </row>
    <row r="6" spans="1:21" x14ac:dyDescent="0.25">
      <c r="A6" s="25" t="s">
        <v>2</v>
      </c>
      <c r="B6" s="17" t="s">
        <v>247</v>
      </c>
      <c r="C6" s="17"/>
      <c r="D6" s="17"/>
      <c r="E6" s="17"/>
      <c r="F6" s="17"/>
      <c r="G6" s="17"/>
      <c r="H6" s="17"/>
      <c r="I6" s="18"/>
      <c r="J6" s="31"/>
      <c r="K6"/>
      <c r="L6"/>
      <c r="M6"/>
      <c r="N6"/>
      <c r="O6"/>
      <c r="P6"/>
      <c r="Q6"/>
      <c r="R6"/>
      <c r="S6"/>
      <c r="T6"/>
      <c r="U6"/>
    </row>
    <row r="7" spans="1:21" ht="15.75" thickBot="1" x14ac:dyDescent="0.3">
      <c r="A7" s="9">
        <f>INDEX('Point Grid'!$C$8:$I$54,MATCH($A$1,'Point Grid'!$A$8:$A$54,0),MATCH(A6,'Point Grid'!$C$7:$I$7,0))</f>
        <v>1</v>
      </c>
      <c r="B7" s="17"/>
      <c r="C7" s="17"/>
      <c r="D7" s="17"/>
      <c r="E7" s="17"/>
      <c r="F7" s="17"/>
      <c r="G7" s="17"/>
      <c r="H7" s="17"/>
      <c r="I7" s="18"/>
      <c r="J7" s="31"/>
      <c r="K7"/>
      <c r="L7"/>
      <c r="M7"/>
      <c r="N7"/>
      <c r="O7"/>
      <c r="P7"/>
      <c r="Q7"/>
      <c r="R7"/>
      <c r="S7"/>
      <c r="T7"/>
      <c r="U7"/>
    </row>
    <row r="8" spans="1:21" ht="15.75" thickBot="1" x14ac:dyDescent="0.3">
      <c r="A8" s="5"/>
      <c r="B8" s="35"/>
      <c r="C8" s="28"/>
      <c r="D8" s="28"/>
      <c r="E8" s="28"/>
      <c r="F8" s="28"/>
      <c r="G8" s="28"/>
      <c r="H8" s="28"/>
      <c r="I8" s="18"/>
      <c r="J8" s="31"/>
      <c r="K8"/>
      <c r="L8"/>
      <c r="M8"/>
      <c r="N8"/>
      <c r="O8"/>
      <c r="P8"/>
      <c r="Q8"/>
      <c r="R8"/>
      <c r="S8"/>
      <c r="T8"/>
      <c r="U8"/>
    </row>
    <row r="9" spans="1:21" x14ac:dyDescent="0.25">
      <c r="A9" s="25"/>
      <c r="B9" s="35"/>
      <c r="C9" s="17"/>
      <c r="D9" s="17"/>
      <c r="E9" s="17"/>
      <c r="F9" s="17"/>
      <c r="G9" s="17"/>
      <c r="H9" s="17"/>
      <c r="I9" s="18"/>
      <c r="J9" s="31"/>
      <c r="K9"/>
      <c r="L9"/>
      <c r="M9"/>
      <c r="N9"/>
      <c r="O9"/>
      <c r="P9"/>
      <c r="Q9"/>
      <c r="R9"/>
      <c r="S9"/>
      <c r="T9"/>
      <c r="U9"/>
    </row>
    <row r="10" spans="1:21" x14ac:dyDescent="0.25">
      <c r="A10" s="25"/>
      <c r="B10" s="35"/>
      <c r="C10" s="17"/>
      <c r="D10" s="17"/>
      <c r="E10" s="17"/>
      <c r="F10" s="17"/>
      <c r="G10" s="17"/>
      <c r="H10" s="17"/>
      <c r="I10" s="18"/>
      <c r="J10" s="31"/>
      <c r="K10"/>
      <c r="L10"/>
      <c r="M10"/>
      <c r="N10"/>
      <c r="O10"/>
      <c r="P10"/>
      <c r="Q10"/>
      <c r="R10"/>
      <c r="S10"/>
      <c r="T10"/>
      <c r="U10"/>
    </row>
    <row r="11" spans="1:21" x14ac:dyDescent="0.25">
      <c r="A11" s="25"/>
      <c r="B11" s="34" t="s">
        <v>37</v>
      </c>
      <c r="C11" s="17" t="s">
        <v>248</v>
      </c>
      <c r="D11" s="17"/>
      <c r="E11" s="17"/>
      <c r="F11" s="17"/>
      <c r="G11" s="17"/>
      <c r="H11" s="17"/>
      <c r="I11" s="18"/>
      <c r="J11" s="31"/>
      <c r="K11"/>
      <c r="L11"/>
      <c r="M11"/>
      <c r="N11"/>
      <c r="O11"/>
      <c r="P11"/>
      <c r="Q11"/>
      <c r="R11"/>
      <c r="S11"/>
      <c r="T11"/>
      <c r="U11"/>
    </row>
    <row r="12" spans="1:21" x14ac:dyDescent="0.25">
      <c r="A12" s="25"/>
      <c r="B12" s="34"/>
      <c r="C12" s="17"/>
      <c r="D12" s="17"/>
      <c r="E12" s="17"/>
      <c r="F12" s="17"/>
      <c r="G12" s="17"/>
      <c r="H12" s="17"/>
      <c r="I12" s="18"/>
      <c r="J12" s="31"/>
      <c r="K12"/>
      <c r="L12"/>
      <c r="M12"/>
      <c r="N12"/>
      <c r="O12"/>
      <c r="P12"/>
      <c r="Q12"/>
      <c r="R12"/>
      <c r="S12"/>
      <c r="T12"/>
      <c r="U12"/>
    </row>
    <row r="13" spans="1:21" x14ac:dyDescent="0.25">
      <c r="A13" s="25"/>
      <c r="B13" s="34"/>
      <c r="C13" s="17"/>
      <c r="D13" s="17"/>
      <c r="E13" s="17"/>
      <c r="F13" s="17"/>
      <c r="G13" s="17"/>
      <c r="H13" s="17"/>
      <c r="I13" s="18"/>
      <c r="J13" s="31"/>
      <c r="K13"/>
      <c r="L13"/>
      <c r="M13"/>
      <c r="N13"/>
      <c r="O13"/>
      <c r="P13"/>
      <c r="Q13"/>
      <c r="R13"/>
      <c r="S13"/>
      <c r="T13"/>
      <c r="U13"/>
    </row>
    <row r="14" spans="1:21" x14ac:dyDescent="0.25">
      <c r="A14" s="25"/>
      <c r="B14" s="34" t="s">
        <v>36</v>
      </c>
      <c r="C14" s="17" t="s">
        <v>249</v>
      </c>
      <c r="D14" s="17"/>
      <c r="E14" s="17"/>
      <c r="F14" s="17"/>
      <c r="G14" s="17"/>
      <c r="H14" s="17"/>
      <c r="I14" s="18"/>
      <c r="J14" s="31"/>
      <c r="K14"/>
      <c r="L14"/>
      <c r="M14"/>
      <c r="N14"/>
      <c r="O14"/>
      <c r="P14"/>
      <c r="Q14"/>
      <c r="R14"/>
      <c r="S14"/>
      <c r="T14"/>
      <c r="U14"/>
    </row>
    <row r="15" spans="1:21" x14ac:dyDescent="0.25">
      <c r="A15" s="25"/>
      <c r="B15" s="34"/>
      <c r="C15" s="17"/>
      <c r="D15" s="17"/>
      <c r="E15" s="17"/>
      <c r="F15" s="17"/>
      <c r="G15" s="17"/>
      <c r="H15" s="17"/>
      <c r="I15" s="18"/>
      <c r="J15" s="31"/>
      <c r="K15"/>
      <c r="L15"/>
      <c r="M15"/>
      <c r="N15"/>
      <c r="O15"/>
      <c r="P15"/>
      <c r="Q15"/>
      <c r="R15"/>
      <c r="S15"/>
      <c r="T15"/>
      <c r="U15"/>
    </row>
    <row r="16" spans="1:21" x14ac:dyDescent="0.25">
      <c r="A16" s="25"/>
      <c r="B16" s="34"/>
      <c r="C16" s="17"/>
      <c r="D16" s="17"/>
      <c r="E16" s="17"/>
      <c r="F16" s="17"/>
      <c r="G16" s="17"/>
      <c r="H16" s="17"/>
      <c r="I16" s="18"/>
      <c r="J16" s="31"/>
      <c r="K16"/>
      <c r="L16"/>
      <c r="M16"/>
      <c r="N16"/>
      <c r="O16"/>
      <c r="P16"/>
      <c r="Q16"/>
      <c r="R16"/>
      <c r="S16"/>
      <c r="T16"/>
      <c r="U16"/>
    </row>
    <row r="17" spans="1:21" x14ac:dyDescent="0.25">
      <c r="A17" s="25"/>
      <c r="B17" s="34" t="s">
        <v>38</v>
      </c>
      <c r="C17" s="17" t="s">
        <v>250</v>
      </c>
      <c r="D17" s="17"/>
      <c r="E17" s="17"/>
      <c r="F17" s="17"/>
      <c r="G17" s="17"/>
      <c r="H17" s="17"/>
      <c r="I17" s="18"/>
      <c r="J17" s="31"/>
      <c r="K17"/>
      <c r="L17"/>
      <c r="M17"/>
      <c r="N17"/>
      <c r="O17"/>
      <c r="P17"/>
      <c r="Q17"/>
      <c r="R17"/>
      <c r="S17"/>
      <c r="T17"/>
      <c r="U17"/>
    </row>
    <row r="18" spans="1:21" ht="15" customHeight="1" x14ac:dyDescent="0.25">
      <c r="A18" s="25"/>
      <c r="B18" s="34"/>
      <c r="C18" s="17"/>
      <c r="D18" s="17"/>
      <c r="E18" s="17"/>
      <c r="F18" s="17"/>
      <c r="G18" s="17"/>
      <c r="H18" s="17"/>
      <c r="I18" s="18"/>
      <c r="J18" s="31"/>
      <c r="K18"/>
      <c r="L18"/>
      <c r="M18"/>
      <c r="N18"/>
      <c r="O18"/>
      <c r="P18"/>
      <c r="Q18"/>
      <c r="R18"/>
      <c r="S18"/>
      <c r="T18"/>
      <c r="U18"/>
    </row>
    <row r="19" spans="1:21" ht="15" customHeight="1" x14ac:dyDescent="0.25">
      <c r="A19" s="25"/>
      <c r="B19" s="34"/>
      <c r="C19" s="17"/>
      <c r="D19" s="17"/>
      <c r="E19" s="17"/>
      <c r="F19" s="17"/>
      <c r="G19" s="17"/>
      <c r="H19" s="17"/>
      <c r="I19" s="18"/>
      <c r="J19" s="31"/>
      <c r="K19"/>
      <c r="L19"/>
      <c r="M19"/>
      <c r="N19"/>
      <c r="O19"/>
      <c r="P19"/>
      <c r="Q19"/>
      <c r="R19"/>
      <c r="S19"/>
      <c r="T19"/>
      <c r="U19"/>
    </row>
    <row r="20" spans="1:21" ht="15" customHeight="1" x14ac:dyDescent="0.25">
      <c r="A20" s="25"/>
      <c r="B20" s="34" t="s">
        <v>39</v>
      </c>
      <c r="C20" s="17" t="s">
        <v>251</v>
      </c>
      <c r="D20" s="17"/>
      <c r="E20" s="17"/>
      <c r="F20" s="17"/>
      <c r="G20" s="17"/>
      <c r="H20" s="17"/>
      <c r="I20" s="18"/>
      <c r="J20" s="31"/>
      <c r="K20"/>
      <c r="L20"/>
      <c r="M20"/>
      <c r="N20"/>
      <c r="O20"/>
      <c r="P20"/>
      <c r="Q20"/>
      <c r="R20"/>
      <c r="S20"/>
      <c r="T20"/>
      <c r="U20"/>
    </row>
    <row r="21" spans="1:21" ht="15" customHeight="1" x14ac:dyDescent="0.25">
      <c r="A21" s="25"/>
      <c r="B21" s="34"/>
      <c r="C21" s="17"/>
      <c r="D21" s="17"/>
      <c r="E21" s="17"/>
      <c r="F21" s="17"/>
      <c r="G21" s="17"/>
      <c r="H21" s="17"/>
      <c r="I21" s="18"/>
      <c r="J21" s="31"/>
      <c r="K21"/>
      <c r="L21"/>
      <c r="M21"/>
      <c r="N21"/>
      <c r="O21"/>
      <c r="P21"/>
      <c r="Q21"/>
      <c r="R21"/>
      <c r="S21"/>
      <c r="T21"/>
      <c r="U21"/>
    </row>
    <row r="22" spans="1:21" ht="15" customHeight="1" x14ac:dyDescent="0.25">
      <c r="A22" s="25"/>
      <c r="B22" s="34"/>
      <c r="C22" s="17"/>
      <c r="D22" s="17"/>
      <c r="E22" s="17"/>
      <c r="F22" s="17"/>
      <c r="G22" s="17"/>
      <c r="H22" s="17"/>
      <c r="I22" s="18"/>
      <c r="J22" s="31"/>
      <c r="K22"/>
      <c r="L22"/>
      <c r="M22"/>
      <c r="N22"/>
      <c r="O22"/>
      <c r="P22"/>
      <c r="Q22"/>
      <c r="R22"/>
      <c r="S22"/>
      <c r="T22"/>
      <c r="U22"/>
    </row>
    <row r="23" spans="1:21" ht="15" customHeight="1" x14ac:dyDescent="0.25">
      <c r="A23" s="25"/>
      <c r="B23" s="34"/>
      <c r="C23" s="17"/>
      <c r="D23" s="17"/>
      <c r="E23" s="17"/>
      <c r="F23" s="17"/>
      <c r="G23" s="17"/>
      <c r="H23" s="17"/>
      <c r="I23" s="18"/>
      <c r="J23" s="31"/>
      <c r="K23"/>
      <c r="L23"/>
      <c r="M23"/>
      <c r="N23"/>
      <c r="O23"/>
      <c r="P23"/>
      <c r="Q23"/>
      <c r="R23"/>
      <c r="S23"/>
      <c r="T23"/>
      <c r="U23"/>
    </row>
    <row r="24" spans="1:21" ht="15" customHeight="1" x14ac:dyDescent="0.25">
      <c r="A24" s="25"/>
      <c r="B24" s="34"/>
      <c r="C24" s="17"/>
      <c r="D24" s="17"/>
      <c r="E24" s="17"/>
      <c r="F24" s="17"/>
      <c r="G24" s="17"/>
      <c r="H24" s="17"/>
      <c r="I24" s="18"/>
      <c r="J24" s="31"/>
      <c r="K24"/>
      <c r="L24"/>
      <c r="M24"/>
      <c r="N24"/>
      <c r="O24"/>
      <c r="P24"/>
      <c r="Q24"/>
      <c r="R24"/>
      <c r="S24"/>
      <c r="T24"/>
      <c r="U24"/>
    </row>
    <row r="25" spans="1:21" ht="15" customHeight="1" x14ac:dyDescent="0.25">
      <c r="A25" s="25"/>
      <c r="B25" s="34"/>
      <c r="C25" s="17"/>
      <c r="D25" s="17"/>
      <c r="E25" s="17"/>
      <c r="F25" s="17"/>
      <c r="G25" s="17"/>
      <c r="H25" s="17"/>
      <c r="I25" s="18"/>
      <c r="J25" s="31"/>
      <c r="K25"/>
      <c r="L25"/>
      <c r="M25"/>
      <c r="N25"/>
      <c r="O25"/>
      <c r="P25"/>
      <c r="Q25"/>
      <c r="R25"/>
      <c r="S25"/>
      <c r="T25"/>
      <c r="U25"/>
    </row>
    <row r="26" spans="1:21" ht="15" customHeight="1" x14ac:dyDescent="0.25">
      <c r="A26" s="25"/>
      <c r="B26" s="34"/>
      <c r="C26" s="17"/>
      <c r="D26" s="17"/>
      <c r="E26" s="17"/>
      <c r="F26" s="17"/>
      <c r="G26" s="17"/>
      <c r="H26" s="17"/>
      <c r="I26" s="18"/>
      <c r="J26" s="31"/>
      <c r="K26"/>
      <c r="L26"/>
      <c r="M26"/>
      <c r="N26"/>
      <c r="O26"/>
      <c r="P26"/>
      <c r="Q26"/>
      <c r="R26"/>
      <c r="S26"/>
      <c r="T26"/>
      <c r="U26"/>
    </row>
    <row r="27" spans="1:21" ht="15" customHeight="1" x14ac:dyDescent="0.25">
      <c r="A27" s="25"/>
      <c r="B27" s="17"/>
      <c r="C27" s="17"/>
      <c r="D27" s="17"/>
      <c r="E27" s="17"/>
      <c r="F27" s="17"/>
      <c r="G27" s="17"/>
      <c r="H27" s="17"/>
      <c r="I27" s="18"/>
      <c r="J27" s="31"/>
      <c r="K27"/>
      <c r="L27"/>
      <c r="M27"/>
      <c r="N27"/>
      <c r="O27"/>
      <c r="P27"/>
      <c r="Q27"/>
      <c r="R27"/>
      <c r="S27"/>
      <c r="T27"/>
      <c r="U27"/>
    </row>
    <row r="28" spans="1:21" ht="15" customHeight="1" x14ac:dyDescent="0.25">
      <c r="A28" s="25"/>
      <c r="B28" s="17"/>
      <c r="C28" s="17"/>
      <c r="D28" s="17"/>
      <c r="E28" s="17"/>
      <c r="F28" s="17"/>
      <c r="G28" s="17"/>
      <c r="H28" s="17"/>
      <c r="I28" s="18"/>
      <c r="J28" s="31"/>
      <c r="K28"/>
      <c r="L28"/>
      <c r="M28"/>
      <c r="N28"/>
      <c r="O28"/>
      <c r="P28"/>
      <c r="Q28"/>
      <c r="R28"/>
      <c r="S28"/>
      <c r="T28"/>
      <c r="U28"/>
    </row>
    <row r="29" spans="1:21" ht="15" customHeight="1" x14ac:dyDescent="0.25">
      <c r="A29" s="22"/>
      <c r="B29" s="17"/>
      <c r="C29" s="17"/>
      <c r="D29" s="17"/>
      <c r="E29" s="17"/>
      <c r="F29" s="17"/>
      <c r="G29" s="17"/>
      <c r="H29" s="17"/>
      <c r="I29" s="18"/>
      <c r="J29" s="31"/>
      <c r="K29"/>
      <c r="L29"/>
      <c r="M29"/>
      <c r="N29"/>
      <c r="O29"/>
      <c r="P29"/>
      <c r="Q29"/>
      <c r="R29"/>
      <c r="S29"/>
      <c r="T29"/>
      <c r="U29"/>
    </row>
    <row r="30" spans="1:21" ht="15" customHeight="1" thickBot="1" x14ac:dyDescent="0.3">
      <c r="A30" s="24"/>
      <c r="B30" s="32"/>
      <c r="C30" s="32"/>
      <c r="D30" s="32"/>
      <c r="E30" s="32"/>
      <c r="F30" s="32"/>
      <c r="G30" s="32"/>
      <c r="H30" s="32"/>
      <c r="I30" s="33"/>
      <c r="J30" s="31"/>
      <c r="K30"/>
      <c r="L30"/>
      <c r="M30"/>
      <c r="N30"/>
      <c r="O30"/>
      <c r="P30"/>
      <c r="Q30"/>
      <c r="R30"/>
      <c r="S30"/>
      <c r="T30"/>
      <c r="U30"/>
    </row>
    <row r="31" spans="1:21" ht="15" customHeight="1" x14ac:dyDescent="0.25">
      <c r="B31" s="31"/>
      <c r="C31" s="31"/>
      <c r="D31" s="31"/>
      <c r="E31" s="31"/>
      <c r="F31" s="31"/>
      <c r="G31" s="31"/>
      <c r="H31" s="31"/>
      <c r="I31" s="31"/>
      <c r="J31" s="31"/>
      <c r="K31"/>
      <c r="L31"/>
      <c r="M31"/>
      <c r="N31"/>
      <c r="O31"/>
      <c r="P31"/>
      <c r="Q31"/>
      <c r="R31"/>
      <c r="S31"/>
      <c r="T31"/>
      <c r="U31"/>
    </row>
    <row r="32" spans="1:21" ht="15" customHeight="1" x14ac:dyDescent="0.25">
      <c r="J32" s="31"/>
      <c r="K32"/>
      <c r="L32"/>
      <c r="M32"/>
      <c r="N32"/>
      <c r="O32"/>
      <c r="P32"/>
      <c r="Q32"/>
      <c r="R32"/>
      <c r="S32"/>
      <c r="T32"/>
      <c r="U32"/>
    </row>
    <row r="33" spans="2:21" ht="15" customHeight="1" x14ac:dyDescent="0.25">
      <c r="J33" s="31"/>
      <c r="K33"/>
      <c r="L33"/>
      <c r="M33"/>
      <c r="N33"/>
      <c r="O33"/>
      <c r="P33"/>
      <c r="Q33"/>
      <c r="R33"/>
      <c r="S33"/>
      <c r="T33"/>
      <c r="U33"/>
    </row>
    <row r="34" spans="2:21" ht="15" customHeight="1" x14ac:dyDescent="0.25">
      <c r="J34" s="31"/>
      <c r="K34"/>
      <c r="L34"/>
      <c r="M34"/>
      <c r="N34"/>
      <c r="O34"/>
      <c r="P34"/>
      <c r="Q34"/>
      <c r="R34"/>
      <c r="S34"/>
      <c r="T34"/>
      <c r="U34"/>
    </row>
    <row r="35" spans="2:21" ht="15" customHeight="1" x14ac:dyDescent="0.25">
      <c r="J35" s="31"/>
      <c r="K35"/>
      <c r="L35"/>
      <c r="M35"/>
      <c r="N35"/>
      <c r="O35"/>
      <c r="P35"/>
      <c r="Q35"/>
      <c r="R35"/>
      <c r="S35"/>
      <c r="T35"/>
      <c r="U35"/>
    </row>
    <row r="36" spans="2:21" ht="15" customHeight="1" x14ac:dyDescent="0.25">
      <c r="J36" s="31"/>
      <c r="K36"/>
      <c r="L36"/>
      <c r="M36"/>
      <c r="N36"/>
      <c r="O36"/>
      <c r="P36"/>
      <c r="Q36"/>
      <c r="R36"/>
      <c r="S36"/>
      <c r="T36"/>
      <c r="U36"/>
    </row>
    <row r="37" spans="2:21" ht="15" customHeight="1" x14ac:dyDescent="0.25">
      <c r="J37" s="31"/>
      <c r="K37"/>
      <c r="L37"/>
      <c r="M37"/>
      <c r="N37"/>
      <c r="O37"/>
      <c r="P37"/>
      <c r="Q37"/>
      <c r="R37"/>
      <c r="S37"/>
      <c r="T37"/>
      <c r="U37"/>
    </row>
    <row r="38" spans="2:21" ht="15" customHeight="1" x14ac:dyDescent="0.25">
      <c r="J38" s="31"/>
      <c r="K38"/>
      <c r="L38"/>
      <c r="M38"/>
      <c r="N38"/>
      <c r="O38"/>
      <c r="P38"/>
      <c r="Q38"/>
      <c r="R38"/>
      <c r="S38"/>
      <c r="T38"/>
      <c r="U38"/>
    </row>
    <row r="39" spans="2:21" ht="15" customHeight="1" x14ac:dyDescent="0.25">
      <c r="J39" s="31"/>
      <c r="K39"/>
      <c r="L39"/>
      <c r="M39"/>
      <c r="N39"/>
      <c r="O39"/>
      <c r="P39"/>
      <c r="Q39"/>
      <c r="R39"/>
      <c r="S39"/>
      <c r="T39"/>
      <c r="U39"/>
    </row>
    <row r="40" spans="2:21" ht="15" customHeight="1" x14ac:dyDescent="0.25">
      <c r="J40" s="31"/>
      <c r="K40"/>
      <c r="L40"/>
      <c r="M40"/>
      <c r="N40"/>
      <c r="O40"/>
      <c r="P40"/>
      <c r="Q40"/>
      <c r="R40"/>
      <c r="S40"/>
      <c r="T40"/>
      <c r="U40"/>
    </row>
    <row r="41" spans="2:21" ht="15" customHeight="1" x14ac:dyDescent="0.25">
      <c r="J41" s="31"/>
      <c r="K41"/>
      <c r="L41"/>
      <c r="M41"/>
      <c r="N41"/>
      <c r="O41"/>
      <c r="P41"/>
      <c r="Q41"/>
      <c r="R41"/>
      <c r="S41"/>
      <c r="T41"/>
      <c r="U41"/>
    </row>
    <row r="42" spans="2:21" ht="15" customHeight="1" x14ac:dyDescent="0.25">
      <c r="J42" s="31"/>
      <c r="K42"/>
      <c r="L42"/>
      <c r="M42"/>
      <c r="N42"/>
      <c r="O42"/>
      <c r="P42"/>
      <c r="Q42"/>
      <c r="R42"/>
      <c r="S42"/>
      <c r="T42"/>
      <c r="U42"/>
    </row>
    <row r="43" spans="2:21" ht="15" customHeight="1" x14ac:dyDescent="0.25">
      <c r="J43" s="31"/>
      <c r="K43"/>
      <c r="L43"/>
      <c r="M43"/>
      <c r="N43"/>
      <c r="O43"/>
      <c r="P43"/>
      <c r="Q43"/>
      <c r="R43"/>
      <c r="S43"/>
      <c r="T43"/>
      <c r="U43"/>
    </row>
    <row r="44" spans="2:21" ht="15" customHeight="1" x14ac:dyDescent="0.25">
      <c r="J44" s="31"/>
      <c r="K44"/>
      <c r="L44"/>
      <c r="M44"/>
      <c r="N44"/>
      <c r="O44"/>
      <c r="P44"/>
      <c r="Q44"/>
      <c r="R44"/>
      <c r="S44"/>
      <c r="T44"/>
      <c r="U44"/>
    </row>
    <row r="45" spans="2:21" ht="15" customHeight="1" x14ac:dyDescent="0.25">
      <c r="J45" s="31"/>
      <c r="K45"/>
      <c r="L45"/>
      <c r="M45"/>
      <c r="N45"/>
      <c r="O45"/>
      <c r="P45"/>
      <c r="Q45"/>
      <c r="R45"/>
      <c r="S45"/>
      <c r="T45"/>
      <c r="U45"/>
    </row>
    <row r="46" spans="2:21" ht="15" customHeight="1" x14ac:dyDescent="0.25">
      <c r="B46" s="31"/>
      <c r="C46" s="31"/>
      <c r="D46" s="31"/>
      <c r="E46" s="31"/>
      <c r="F46" s="31"/>
      <c r="G46" s="31"/>
      <c r="H46" s="31"/>
      <c r="I46" s="31"/>
      <c r="J46" s="31"/>
      <c r="K46"/>
      <c r="L46"/>
      <c r="M46"/>
      <c r="N46"/>
      <c r="O46"/>
      <c r="P46"/>
      <c r="Q46"/>
      <c r="R46"/>
      <c r="S46"/>
      <c r="T46"/>
      <c r="U46"/>
    </row>
    <row r="47" spans="2:21" ht="15" customHeight="1" x14ac:dyDescent="0.25">
      <c r="B47" s="31"/>
      <c r="C47" s="31"/>
      <c r="D47" s="31"/>
      <c r="E47" s="31"/>
      <c r="F47" s="31"/>
      <c r="G47" s="31"/>
      <c r="H47" s="31"/>
      <c r="I47" s="31"/>
      <c r="J47" s="31"/>
      <c r="K47"/>
      <c r="L47"/>
      <c r="M47"/>
      <c r="N47"/>
      <c r="O47"/>
      <c r="P47"/>
      <c r="Q47"/>
      <c r="R47"/>
      <c r="S47"/>
      <c r="T47"/>
      <c r="U47"/>
    </row>
    <row r="48" spans="2:21" ht="15" customHeight="1" x14ac:dyDescent="0.25">
      <c r="B48" s="31"/>
      <c r="C48" s="31"/>
      <c r="D48" s="31"/>
      <c r="E48" s="31"/>
      <c r="F48" s="31"/>
      <c r="G48" s="31"/>
      <c r="H48" s="31"/>
      <c r="I48" s="31"/>
      <c r="J48" s="31"/>
      <c r="K48"/>
      <c r="L48"/>
      <c r="M48"/>
      <c r="N48"/>
      <c r="O48"/>
      <c r="P48"/>
      <c r="Q48"/>
      <c r="R48"/>
      <c r="S48"/>
      <c r="T48"/>
      <c r="U48"/>
    </row>
    <row r="49" spans="2:21" ht="15" customHeight="1" x14ac:dyDescent="0.25">
      <c r="B49" s="31"/>
      <c r="C49" s="31"/>
      <c r="D49" s="31"/>
      <c r="E49" s="31"/>
      <c r="F49" s="31"/>
      <c r="G49" s="31"/>
      <c r="H49" s="31"/>
      <c r="I49" s="31"/>
      <c r="J49" s="31"/>
      <c r="K49"/>
      <c r="L49"/>
      <c r="M49"/>
      <c r="N49"/>
      <c r="O49"/>
      <c r="P49"/>
      <c r="Q49"/>
      <c r="R49"/>
      <c r="S49"/>
      <c r="T49"/>
      <c r="U49"/>
    </row>
    <row r="50" spans="2:21" ht="15" customHeight="1" x14ac:dyDescent="0.25">
      <c r="B50" s="31"/>
      <c r="C50" s="31"/>
      <c r="D50" s="31"/>
      <c r="E50" s="31"/>
      <c r="F50" s="31"/>
      <c r="G50" s="31"/>
      <c r="H50" s="31"/>
      <c r="I50" s="31"/>
      <c r="J50" s="31"/>
      <c r="K50"/>
      <c r="L50"/>
      <c r="M50"/>
      <c r="N50"/>
      <c r="O50"/>
      <c r="P50"/>
      <c r="Q50"/>
      <c r="R50"/>
      <c r="S50"/>
      <c r="T50"/>
      <c r="U50"/>
    </row>
    <row r="51" spans="2:21" ht="15" customHeight="1" x14ac:dyDescent="0.25">
      <c r="B51" s="31"/>
      <c r="C51" s="31"/>
      <c r="D51" s="31"/>
      <c r="E51" s="31"/>
      <c r="F51" s="31"/>
      <c r="G51" s="31"/>
      <c r="H51" s="31"/>
      <c r="I51" s="31"/>
      <c r="J51" s="31"/>
      <c r="K51"/>
      <c r="L51"/>
      <c r="M51"/>
      <c r="N51"/>
      <c r="O51"/>
      <c r="P51"/>
      <c r="Q51"/>
      <c r="R51"/>
      <c r="S51"/>
      <c r="T51"/>
      <c r="U51"/>
    </row>
    <row r="52" spans="2:21" ht="15" customHeight="1" x14ac:dyDescent="0.25">
      <c r="B52" s="31"/>
      <c r="C52" s="31"/>
      <c r="D52" s="31"/>
      <c r="E52" s="31"/>
      <c r="F52" s="31"/>
      <c r="G52" s="31"/>
      <c r="H52" s="31"/>
      <c r="I52" s="31"/>
      <c r="J52" s="31"/>
      <c r="K52"/>
      <c r="L52"/>
      <c r="M52"/>
      <c r="N52"/>
      <c r="O52"/>
      <c r="P52"/>
      <c r="Q52"/>
      <c r="R52"/>
      <c r="S52"/>
      <c r="T52"/>
      <c r="U52"/>
    </row>
    <row r="53" spans="2:21" ht="15" customHeight="1" x14ac:dyDescent="0.25">
      <c r="B53" s="31"/>
      <c r="C53" s="31"/>
      <c r="D53" s="31"/>
      <c r="E53" s="31"/>
      <c r="F53" s="31"/>
      <c r="G53" s="31"/>
      <c r="H53" s="31"/>
      <c r="I53" s="31"/>
      <c r="J53" s="31"/>
      <c r="K53"/>
      <c r="L53"/>
      <c r="M53"/>
      <c r="N53"/>
      <c r="O53"/>
      <c r="P53"/>
      <c r="Q53"/>
      <c r="R53"/>
      <c r="S53"/>
      <c r="T53"/>
      <c r="U53"/>
    </row>
    <row r="54" spans="2:21" ht="15" customHeight="1" x14ac:dyDescent="0.25">
      <c r="B54" s="31"/>
      <c r="C54" s="31"/>
      <c r="D54" s="31"/>
      <c r="E54" s="31"/>
      <c r="F54" s="31"/>
      <c r="G54" s="31"/>
      <c r="H54" s="31"/>
      <c r="I54" s="31"/>
      <c r="J54" s="31"/>
      <c r="K54"/>
      <c r="L54"/>
      <c r="M54"/>
      <c r="N54"/>
      <c r="O54"/>
      <c r="P54"/>
      <c r="Q54"/>
      <c r="R54"/>
      <c r="S54"/>
      <c r="T54"/>
      <c r="U54"/>
    </row>
    <row r="55" spans="2:21" ht="15" customHeight="1" x14ac:dyDescent="0.25">
      <c r="B55" s="31"/>
      <c r="C55" s="31"/>
      <c r="D55" s="31"/>
      <c r="E55" s="31"/>
      <c r="F55" s="31"/>
      <c r="G55" s="31"/>
      <c r="H55" s="31"/>
      <c r="I55" s="31"/>
      <c r="J55" s="31"/>
      <c r="K55"/>
      <c r="L55"/>
      <c r="M55"/>
      <c r="N55"/>
      <c r="O55"/>
      <c r="P55"/>
      <c r="Q55"/>
      <c r="R55"/>
      <c r="S55"/>
      <c r="T55"/>
      <c r="U55"/>
    </row>
    <row r="56" spans="2:21" ht="15" customHeight="1" x14ac:dyDescent="0.25">
      <c r="B56" s="31"/>
      <c r="C56" s="31"/>
      <c r="D56" s="31"/>
      <c r="E56" s="31"/>
      <c r="F56" s="31"/>
      <c r="G56" s="31"/>
      <c r="H56" s="31"/>
      <c r="I56" s="31"/>
      <c r="J56" s="31"/>
      <c r="K56"/>
      <c r="L56"/>
      <c r="M56"/>
      <c r="N56"/>
      <c r="O56"/>
      <c r="P56"/>
      <c r="Q56"/>
      <c r="R56"/>
      <c r="S56"/>
      <c r="T56"/>
      <c r="U56"/>
    </row>
    <row r="57" spans="2:21" ht="15" customHeight="1" x14ac:dyDescent="0.25">
      <c r="B57" s="31"/>
      <c r="C57" s="31"/>
      <c r="D57" s="31"/>
      <c r="E57" s="31"/>
      <c r="F57" s="31"/>
      <c r="G57" s="31"/>
      <c r="H57" s="31"/>
      <c r="I57" s="31"/>
      <c r="J57" s="31"/>
      <c r="K57"/>
      <c r="L57"/>
      <c r="M57"/>
      <c r="N57"/>
      <c r="O57"/>
      <c r="P57"/>
      <c r="Q57"/>
      <c r="R57"/>
      <c r="S57"/>
      <c r="T57"/>
      <c r="U57"/>
    </row>
    <row r="58" spans="2:21" ht="15" customHeight="1" x14ac:dyDescent="0.25">
      <c r="B58" s="31"/>
      <c r="C58" s="31"/>
      <c r="D58" s="31"/>
      <c r="E58" s="31"/>
      <c r="F58" s="31"/>
      <c r="G58" s="31"/>
      <c r="H58" s="31"/>
      <c r="I58" s="31"/>
      <c r="J58" s="31"/>
      <c r="K58"/>
      <c r="L58"/>
      <c r="M58"/>
      <c r="N58"/>
      <c r="O58"/>
      <c r="P58"/>
      <c r="Q58"/>
      <c r="R58"/>
      <c r="S58"/>
      <c r="T58"/>
      <c r="U58"/>
    </row>
    <row r="59" spans="2:21" ht="15" customHeight="1" x14ac:dyDescent="0.25">
      <c r="B59" s="31"/>
      <c r="C59" s="31"/>
      <c r="D59" s="31"/>
      <c r="E59" s="31"/>
      <c r="F59" s="31"/>
      <c r="G59" s="31"/>
      <c r="H59" s="31"/>
      <c r="I59" s="31"/>
      <c r="J59" s="31"/>
      <c r="K59"/>
      <c r="L59"/>
      <c r="M59"/>
      <c r="N59"/>
      <c r="O59"/>
      <c r="P59"/>
      <c r="Q59"/>
      <c r="R59"/>
      <c r="S59"/>
      <c r="T59"/>
      <c r="U59"/>
    </row>
    <row r="60" spans="2:21" ht="15" customHeight="1" x14ac:dyDescent="0.25">
      <c r="B60" s="31"/>
      <c r="C60" s="31"/>
      <c r="D60" s="31"/>
      <c r="E60" s="31"/>
      <c r="F60" s="31"/>
      <c r="G60" s="31"/>
      <c r="H60" s="31"/>
      <c r="I60" s="31"/>
      <c r="J60" s="31"/>
      <c r="K60"/>
      <c r="L60"/>
      <c r="M60"/>
      <c r="N60"/>
      <c r="O60"/>
      <c r="P60"/>
      <c r="Q60"/>
      <c r="R60"/>
      <c r="S60"/>
      <c r="T60"/>
      <c r="U60"/>
    </row>
    <row r="61" spans="2:21" ht="15" customHeight="1" x14ac:dyDescent="0.25">
      <c r="B61" s="31"/>
      <c r="C61" s="31"/>
      <c r="D61" s="31"/>
      <c r="E61" s="31"/>
      <c r="F61" s="31"/>
      <c r="G61" s="31"/>
      <c r="H61" s="31"/>
      <c r="I61" s="31"/>
      <c r="J61" s="31"/>
      <c r="K61"/>
      <c r="L61"/>
      <c r="M61"/>
      <c r="N61"/>
      <c r="O61"/>
      <c r="P61"/>
      <c r="Q61"/>
      <c r="R61"/>
      <c r="S61"/>
      <c r="T61"/>
      <c r="U61"/>
    </row>
    <row r="62" spans="2:21" ht="15" customHeight="1" x14ac:dyDescent="0.25">
      <c r="B62" s="31"/>
      <c r="C62" s="31"/>
      <c r="D62" s="31"/>
      <c r="E62" s="31"/>
      <c r="F62" s="31"/>
      <c r="G62" s="31"/>
      <c r="H62" s="31"/>
      <c r="I62" s="31"/>
      <c r="J62" s="31"/>
      <c r="K62"/>
      <c r="L62"/>
      <c r="M62"/>
      <c r="N62"/>
      <c r="O62"/>
      <c r="P62"/>
      <c r="Q62"/>
      <c r="R62"/>
      <c r="S62"/>
      <c r="T62"/>
      <c r="U62"/>
    </row>
    <row r="63" spans="2:21" ht="15" customHeight="1" x14ac:dyDescent="0.25">
      <c r="B63" s="31"/>
      <c r="C63" s="31"/>
      <c r="D63" s="31"/>
      <c r="E63" s="31"/>
      <c r="F63" s="31"/>
      <c r="G63" s="31"/>
      <c r="H63" s="31"/>
      <c r="I63" s="31"/>
      <c r="J63" s="31"/>
      <c r="K63"/>
      <c r="L63"/>
      <c r="M63"/>
      <c r="N63"/>
      <c r="O63"/>
      <c r="P63"/>
      <c r="Q63"/>
      <c r="R63"/>
      <c r="S63"/>
      <c r="T63"/>
      <c r="U63"/>
    </row>
    <row r="64" spans="2:21" ht="15" customHeight="1" x14ac:dyDescent="0.25">
      <c r="B64" s="31"/>
      <c r="C64" s="31"/>
      <c r="D64" s="31"/>
      <c r="E64" s="31"/>
      <c r="F64" s="31"/>
      <c r="G64" s="31"/>
      <c r="H64" s="31"/>
      <c r="I64" s="31"/>
      <c r="J64" s="31"/>
      <c r="K64"/>
      <c r="L64"/>
      <c r="M64"/>
      <c r="N64"/>
      <c r="O64"/>
      <c r="P64"/>
      <c r="Q64"/>
      <c r="R64"/>
      <c r="S64"/>
      <c r="T64"/>
      <c r="U64"/>
    </row>
    <row r="65" spans="2:21" ht="15" customHeight="1" x14ac:dyDescent="0.25">
      <c r="B65" s="31"/>
      <c r="C65" s="31"/>
      <c r="D65" s="31"/>
      <c r="E65" s="31"/>
      <c r="F65" s="31"/>
      <c r="G65" s="31"/>
      <c r="H65" s="31"/>
      <c r="I65" s="31"/>
      <c r="J65" s="31"/>
      <c r="K65"/>
      <c r="L65"/>
      <c r="M65"/>
      <c r="N65"/>
      <c r="O65"/>
      <c r="P65"/>
      <c r="Q65"/>
      <c r="R65"/>
      <c r="S65"/>
      <c r="T65"/>
      <c r="U65"/>
    </row>
    <row r="66" spans="2:21" ht="15" customHeight="1" x14ac:dyDescent="0.25">
      <c r="B66" s="31"/>
      <c r="C66" s="31"/>
      <c r="D66" s="31"/>
      <c r="E66" s="31"/>
      <c r="F66" s="31"/>
      <c r="G66" s="31"/>
      <c r="H66" s="31"/>
      <c r="I66" s="31"/>
      <c r="J66" s="31"/>
      <c r="K66"/>
      <c r="L66"/>
      <c r="M66"/>
      <c r="N66"/>
      <c r="O66"/>
      <c r="P66"/>
      <c r="Q66"/>
      <c r="R66"/>
      <c r="S66"/>
      <c r="T66"/>
      <c r="U66"/>
    </row>
    <row r="67" spans="2:21" ht="15" customHeight="1" x14ac:dyDescent="0.25">
      <c r="B67" s="31"/>
      <c r="C67" s="31"/>
      <c r="D67" s="31"/>
      <c r="E67" s="31"/>
      <c r="F67" s="31"/>
      <c r="G67" s="31"/>
      <c r="H67" s="31"/>
      <c r="I67" s="31"/>
      <c r="J67" s="31"/>
      <c r="K67"/>
      <c r="L67"/>
      <c r="M67"/>
      <c r="N67"/>
      <c r="O67"/>
      <c r="P67"/>
      <c r="Q67"/>
      <c r="R67"/>
      <c r="S67"/>
      <c r="T67"/>
      <c r="U67"/>
    </row>
    <row r="68" spans="2:21" ht="15" customHeight="1" x14ac:dyDescent="0.25">
      <c r="B68" s="31"/>
      <c r="C68" s="31"/>
      <c r="D68" s="31"/>
      <c r="E68" s="31"/>
      <c r="F68" s="31"/>
      <c r="G68" s="31"/>
      <c r="H68" s="31"/>
      <c r="I68" s="31"/>
      <c r="J68" s="31"/>
      <c r="K68"/>
      <c r="L68"/>
      <c r="M68"/>
      <c r="N68"/>
      <c r="O68"/>
      <c r="P68"/>
      <c r="Q68"/>
      <c r="R68"/>
      <c r="S68"/>
      <c r="T68"/>
      <c r="U68"/>
    </row>
    <row r="69" spans="2:21" ht="15" customHeight="1" x14ac:dyDescent="0.25">
      <c r="B69" s="31"/>
      <c r="C69" s="31"/>
      <c r="D69" s="31"/>
      <c r="E69" s="31"/>
      <c r="F69" s="31"/>
      <c r="G69" s="31"/>
      <c r="H69" s="31"/>
      <c r="I69" s="31"/>
      <c r="J69" s="31"/>
      <c r="K69"/>
      <c r="L69"/>
      <c r="M69"/>
      <c r="N69"/>
      <c r="O69"/>
      <c r="P69"/>
      <c r="Q69"/>
      <c r="R69"/>
      <c r="S69"/>
      <c r="T69"/>
      <c r="U69"/>
    </row>
    <row r="70" spans="2:21" ht="15" customHeight="1" x14ac:dyDescent="0.25">
      <c r="B70" s="31"/>
      <c r="C70" s="31"/>
      <c r="D70" s="31"/>
      <c r="E70" s="31"/>
      <c r="F70" s="31"/>
      <c r="G70" s="31"/>
      <c r="H70" s="31"/>
      <c r="I70" s="31"/>
      <c r="J70" s="31"/>
      <c r="K70"/>
      <c r="L70"/>
      <c r="M70"/>
      <c r="N70"/>
      <c r="O70"/>
      <c r="P70"/>
      <c r="Q70"/>
      <c r="R70"/>
      <c r="S70"/>
      <c r="T70"/>
      <c r="U70"/>
    </row>
    <row r="71" spans="2:21" ht="15" customHeight="1" x14ac:dyDescent="0.25">
      <c r="B71" s="31"/>
      <c r="C71" s="31"/>
      <c r="D71" s="31"/>
      <c r="E71" s="31"/>
      <c r="F71" s="31"/>
      <c r="G71" s="31"/>
      <c r="H71" s="31"/>
      <c r="I71" s="31"/>
      <c r="J71" s="31"/>
      <c r="K71"/>
      <c r="L71"/>
      <c r="M71"/>
      <c r="N71"/>
      <c r="O71"/>
      <c r="P71"/>
      <c r="Q71"/>
      <c r="R71"/>
      <c r="S71"/>
      <c r="T71"/>
      <c r="U71"/>
    </row>
    <row r="72" spans="2:21" ht="15" customHeight="1" x14ac:dyDescent="0.25">
      <c r="B72" s="31"/>
      <c r="C72" s="31"/>
      <c r="D72" s="31"/>
      <c r="E72" s="31"/>
      <c r="F72" s="31"/>
      <c r="G72" s="31"/>
      <c r="H72" s="31"/>
      <c r="I72" s="31"/>
      <c r="J72" s="31"/>
      <c r="K72"/>
      <c r="L72"/>
      <c r="M72"/>
      <c r="N72"/>
      <c r="O72"/>
      <c r="P72"/>
      <c r="Q72"/>
      <c r="R72"/>
      <c r="S72"/>
      <c r="T72"/>
      <c r="U72"/>
    </row>
    <row r="73" spans="2:21" ht="15" customHeight="1" x14ac:dyDescent="0.25">
      <c r="B73" s="31"/>
      <c r="C73" s="31"/>
      <c r="D73" s="31"/>
      <c r="E73" s="31"/>
      <c r="F73" s="31"/>
      <c r="G73" s="31"/>
      <c r="H73" s="31"/>
      <c r="I73" s="31"/>
      <c r="J73" s="31"/>
      <c r="K73"/>
      <c r="L73"/>
      <c r="M73"/>
      <c r="N73"/>
      <c r="O73"/>
      <c r="P73"/>
      <c r="Q73"/>
      <c r="R73"/>
      <c r="S73"/>
      <c r="T73"/>
      <c r="U73"/>
    </row>
    <row r="74" spans="2:21" ht="15" customHeight="1" x14ac:dyDescent="0.25">
      <c r="B74" s="31"/>
      <c r="C74" s="31"/>
      <c r="D74" s="31"/>
      <c r="E74" s="31"/>
      <c r="F74" s="31"/>
      <c r="G74" s="31"/>
      <c r="H74" s="31"/>
      <c r="I74" s="31"/>
      <c r="J74" s="31"/>
      <c r="K74"/>
      <c r="L74"/>
      <c r="M74"/>
      <c r="N74"/>
      <c r="O74"/>
      <c r="P74"/>
      <c r="Q74"/>
      <c r="R74"/>
      <c r="S74"/>
      <c r="T74"/>
      <c r="U74"/>
    </row>
    <row r="75" spans="2:21" ht="15" customHeight="1" x14ac:dyDescent="0.25">
      <c r="B75" s="31"/>
      <c r="C75" s="31"/>
      <c r="D75" s="31"/>
      <c r="E75" s="31"/>
      <c r="F75" s="31"/>
      <c r="G75" s="31"/>
      <c r="H75" s="31"/>
      <c r="I75" s="31"/>
      <c r="J75" s="31"/>
      <c r="K75"/>
      <c r="L75"/>
      <c r="M75"/>
      <c r="N75"/>
      <c r="O75"/>
      <c r="P75"/>
      <c r="Q75"/>
      <c r="R75"/>
      <c r="S75"/>
      <c r="T75"/>
      <c r="U75"/>
    </row>
    <row r="76" spans="2:21" ht="15" customHeight="1" x14ac:dyDescent="0.25">
      <c r="B76" s="31"/>
      <c r="C76" s="31"/>
      <c r="D76" s="31"/>
      <c r="E76" s="31"/>
      <c r="F76" s="31"/>
      <c r="G76" s="31"/>
      <c r="H76" s="31"/>
      <c r="I76" s="31"/>
      <c r="J76" s="31"/>
      <c r="K76"/>
      <c r="L76"/>
      <c r="M76"/>
      <c r="N76"/>
      <c r="O76"/>
      <c r="P76"/>
      <c r="Q76"/>
      <c r="R76"/>
      <c r="S76"/>
      <c r="T76"/>
      <c r="U76"/>
    </row>
    <row r="77" spans="2:21" ht="15" customHeight="1" x14ac:dyDescent="0.25">
      <c r="B77" s="31"/>
      <c r="C77" s="31"/>
      <c r="D77" s="31"/>
      <c r="E77" s="31"/>
      <c r="F77" s="31"/>
      <c r="G77" s="31"/>
      <c r="H77" s="31"/>
      <c r="I77" s="31"/>
      <c r="J77" s="31"/>
      <c r="K77"/>
      <c r="L77"/>
      <c r="M77"/>
      <c r="N77"/>
      <c r="O77"/>
      <c r="P77"/>
      <c r="Q77"/>
      <c r="R77"/>
      <c r="S77"/>
      <c r="T77"/>
      <c r="U77"/>
    </row>
    <row r="78" spans="2:21" ht="15" customHeight="1" x14ac:dyDescent="0.25">
      <c r="B78" s="31"/>
      <c r="C78" s="31"/>
      <c r="D78" s="31"/>
      <c r="E78" s="31"/>
      <c r="F78" s="31"/>
      <c r="G78" s="31"/>
      <c r="H78" s="31"/>
      <c r="I78" s="31"/>
      <c r="J78" s="31"/>
      <c r="K78"/>
      <c r="L78"/>
      <c r="M78"/>
      <c r="N78"/>
      <c r="O78"/>
      <c r="P78"/>
      <c r="Q78"/>
      <c r="R78"/>
      <c r="S78"/>
      <c r="T78"/>
      <c r="U78"/>
    </row>
    <row r="79" spans="2:21" ht="15" customHeight="1" x14ac:dyDescent="0.25">
      <c r="B79" s="31"/>
      <c r="C79" s="31"/>
      <c r="D79" s="31"/>
      <c r="E79" s="31"/>
      <c r="F79" s="31"/>
      <c r="G79" s="31"/>
      <c r="H79" s="31"/>
      <c r="I79" s="31"/>
      <c r="J79" s="31"/>
      <c r="K79"/>
      <c r="L79"/>
      <c r="M79"/>
      <c r="N79"/>
      <c r="O79"/>
      <c r="P79"/>
      <c r="Q79"/>
      <c r="R79"/>
      <c r="S79"/>
      <c r="T79"/>
      <c r="U79"/>
    </row>
    <row r="80" spans="2:21" ht="15" customHeight="1" x14ac:dyDescent="0.25">
      <c r="B80" s="31"/>
      <c r="C80" s="31"/>
      <c r="D80" s="31"/>
      <c r="E80" s="31"/>
      <c r="F80" s="31"/>
      <c r="G80" s="31"/>
      <c r="H80" s="31"/>
      <c r="I80" s="31"/>
      <c r="J80" s="31"/>
      <c r="K80"/>
      <c r="L80"/>
      <c r="M80"/>
      <c r="N80"/>
      <c r="O80"/>
      <c r="P80"/>
      <c r="Q80"/>
      <c r="R80"/>
      <c r="S80"/>
      <c r="T80"/>
      <c r="U80"/>
    </row>
    <row r="81" spans="2:21" ht="15" customHeight="1" x14ac:dyDescent="0.25">
      <c r="B81" s="31"/>
      <c r="C81" s="31"/>
      <c r="D81" s="31"/>
      <c r="E81" s="31"/>
      <c r="F81" s="31"/>
      <c r="G81" s="31"/>
      <c r="H81" s="31"/>
      <c r="I81" s="31"/>
      <c r="J81" s="31"/>
      <c r="K81"/>
      <c r="L81"/>
      <c r="M81"/>
      <c r="N81"/>
      <c r="O81"/>
      <c r="P81"/>
      <c r="Q81"/>
      <c r="R81"/>
      <c r="S81"/>
      <c r="T81"/>
      <c r="U81"/>
    </row>
    <row r="82" spans="2:21" ht="15" customHeight="1" x14ac:dyDescent="0.25">
      <c r="B82" s="31"/>
      <c r="C82" s="31"/>
      <c r="D82" s="31"/>
      <c r="E82" s="31"/>
      <c r="F82" s="31"/>
      <c r="G82" s="31"/>
      <c r="H82" s="31"/>
      <c r="I82" s="31"/>
      <c r="J82" s="31"/>
      <c r="K82"/>
      <c r="L82"/>
      <c r="M82"/>
      <c r="N82"/>
      <c r="O82"/>
      <c r="P82"/>
      <c r="Q82"/>
      <c r="R82"/>
      <c r="S82"/>
      <c r="T82"/>
      <c r="U82"/>
    </row>
    <row r="83" spans="2:21" ht="15" customHeight="1" x14ac:dyDescent="0.25">
      <c r="B83" s="31"/>
      <c r="C83" s="31"/>
      <c r="D83" s="31"/>
      <c r="E83" s="31"/>
      <c r="F83" s="31"/>
      <c r="G83" s="31"/>
      <c r="H83" s="31"/>
      <c r="I83" s="31"/>
      <c r="J83" s="31"/>
      <c r="K83"/>
      <c r="L83"/>
      <c r="M83"/>
      <c r="N83"/>
      <c r="O83"/>
      <c r="P83"/>
      <c r="Q83"/>
      <c r="R83"/>
      <c r="S83"/>
      <c r="T83"/>
      <c r="U83"/>
    </row>
    <row r="84" spans="2:21" ht="15" customHeight="1" x14ac:dyDescent="0.25">
      <c r="B84" s="31"/>
      <c r="C84" s="31"/>
      <c r="D84" s="31"/>
      <c r="E84" s="31"/>
      <c r="F84" s="31"/>
      <c r="G84" s="31"/>
      <c r="H84" s="31"/>
      <c r="I84" s="31"/>
      <c r="J84" s="31"/>
      <c r="K84"/>
      <c r="L84"/>
      <c r="M84"/>
      <c r="N84"/>
      <c r="O84"/>
      <c r="P84"/>
      <c r="Q84"/>
      <c r="R84"/>
      <c r="S84"/>
      <c r="T84"/>
      <c r="U84"/>
    </row>
    <row r="85" spans="2:21" ht="15" customHeight="1" x14ac:dyDescent="0.25">
      <c r="B85" s="31"/>
      <c r="C85" s="31"/>
      <c r="D85" s="31"/>
      <c r="E85" s="31"/>
      <c r="F85" s="31"/>
      <c r="G85" s="31"/>
      <c r="H85" s="31"/>
      <c r="I85" s="31"/>
      <c r="J85" s="31"/>
      <c r="K85"/>
      <c r="L85"/>
      <c r="M85"/>
      <c r="N85"/>
      <c r="O85"/>
      <c r="P85"/>
      <c r="Q85"/>
      <c r="R85"/>
      <c r="S85"/>
      <c r="T85"/>
      <c r="U85"/>
    </row>
    <row r="86" spans="2:21" ht="15" customHeight="1" x14ac:dyDescent="0.25">
      <c r="B86" s="31"/>
      <c r="C86" s="31"/>
      <c r="D86" s="31"/>
      <c r="E86" s="31"/>
      <c r="F86" s="31"/>
      <c r="G86" s="31"/>
      <c r="H86" s="31"/>
      <c r="I86" s="31"/>
      <c r="J86" s="31"/>
      <c r="K86"/>
      <c r="L86"/>
      <c r="M86"/>
      <c r="N86"/>
      <c r="O86"/>
      <c r="P86"/>
      <c r="Q86"/>
      <c r="R86"/>
      <c r="S86"/>
      <c r="T86"/>
      <c r="U86"/>
    </row>
    <row r="87" spans="2:21" ht="15" customHeight="1" x14ac:dyDescent="0.25">
      <c r="B87" s="31"/>
      <c r="C87" s="31"/>
      <c r="D87" s="31"/>
      <c r="E87" s="31"/>
      <c r="F87" s="31"/>
      <c r="G87" s="31"/>
      <c r="H87" s="31"/>
      <c r="I87" s="31"/>
      <c r="J87" s="31"/>
      <c r="K87"/>
      <c r="L87"/>
      <c r="M87"/>
      <c r="N87"/>
      <c r="O87"/>
      <c r="P87"/>
      <c r="Q87"/>
      <c r="R87"/>
      <c r="S87"/>
      <c r="T87"/>
      <c r="U87"/>
    </row>
    <row r="88" spans="2:21" ht="15" customHeight="1" x14ac:dyDescent="0.25">
      <c r="B88" s="31"/>
      <c r="C88" s="31"/>
      <c r="D88" s="31"/>
      <c r="E88" s="31"/>
      <c r="F88" s="31"/>
      <c r="G88" s="31"/>
      <c r="H88" s="31"/>
      <c r="I88" s="31"/>
      <c r="J88" s="31"/>
      <c r="K88"/>
      <c r="L88"/>
      <c r="M88"/>
      <c r="N88"/>
      <c r="O88"/>
      <c r="P88"/>
      <c r="Q88"/>
      <c r="R88"/>
      <c r="S88"/>
      <c r="T88"/>
      <c r="U88"/>
    </row>
    <row r="89" spans="2:21" ht="15" customHeight="1" x14ac:dyDescent="0.25">
      <c r="B89" s="31"/>
      <c r="C89" s="31"/>
      <c r="D89" s="31"/>
      <c r="E89" s="31"/>
      <c r="F89" s="31"/>
      <c r="G89" s="31"/>
      <c r="H89" s="31"/>
      <c r="I89" s="31"/>
      <c r="J89" s="31"/>
      <c r="K89"/>
      <c r="L89"/>
      <c r="M89"/>
      <c r="N89"/>
      <c r="O89"/>
      <c r="P89"/>
      <c r="Q89"/>
      <c r="R89"/>
      <c r="S89"/>
      <c r="T89"/>
      <c r="U89"/>
    </row>
    <row r="90" spans="2:21" ht="15" customHeight="1" x14ac:dyDescent="0.25">
      <c r="B90" s="31"/>
      <c r="C90" s="31"/>
      <c r="D90" s="31"/>
      <c r="E90" s="31"/>
      <c r="F90" s="31"/>
      <c r="G90" s="31"/>
      <c r="H90" s="31"/>
      <c r="I90" s="31"/>
      <c r="J90" s="31"/>
      <c r="K90"/>
      <c r="L90"/>
      <c r="M90"/>
      <c r="N90"/>
      <c r="O90"/>
      <c r="P90"/>
      <c r="Q90"/>
      <c r="R90"/>
      <c r="S90"/>
      <c r="T90"/>
      <c r="U90"/>
    </row>
    <row r="91" spans="2:21" ht="15" customHeight="1" x14ac:dyDescent="0.25">
      <c r="B91" s="31"/>
      <c r="C91" s="31"/>
      <c r="D91" s="31"/>
      <c r="E91" s="31"/>
      <c r="F91" s="31"/>
      <c r="G91" s="31"/>
      <c r="H91" s="31"/>
      <c r="I91" s="31"/>
      <c r="J91" s="31"/>
      <c r="K91"/>
      <c r="L91"/>
      <c r="M91"/>
      <c r="N91"/>
      <c r="O91"/>
      <c r="P91"/>
      <c r="Q91"/>
      <c r="R91"/>
      <c r="S91"/>
      <c r="T91"/>
      <c r="U91"/>
    </row>
    <row r="92" spans="2:21" ht="15" customHeight="1" x14ac:dyDescent="0.25">
      <c r="B92" s="31"/>
      <c r="C92" s="31"/>
      <c r="D92" s="31"/>
      <c r="E92" s="31"/>
      <c r="F92" s="31"/>
      <c r="G92" s="31"/>
      <c r="H92" s="31"/>
      <c r="I92" s="31"/>
      <c r="J92" s="31"/>
      <c r="K92"/>
      <c r="L92"/>
      <c r="M92"/>
      <c r="N92"/>
      <c r="O92"/>
      <c r="P92"/>
      <c r="Q92"/>
      <c r="R92"/>
      <c r="S92"/>
      <c r="T92"/>
      <c r="U92"/>
    </row>
    <row r="93" spans="2:21" ht="15" customHeight="1" x14ac:dyDescent="0.25">
      <c r="B93" s="31"/>
      <c r="C93" s="31"/>
      <c r="D93" s="31"/>
      <c r="E93" s="31"/>
      <c r="F93" s="31"/>
      <c r="G93" s="31"/>
      <c r="H93" s="31"/>
      <c r="I93" s="31"/>
      <c r="J93" s="31"/>
      <c r="K93"/>
      <c r="L93"/>
      <c r="M93"/>
      <c r="N93"/>
      <c r="O93"/>
      <c r="P93"/>
      <c r="Q93"/>
      <c r="R93"/>
      <c r="S93"/>
      <c r="T93"/>
      <c r="U93"/>
    </row>
    <row r="94" spans="2:21" ht="15" customHeight="1" x14ac:dyDescent="0.25">
      <c r="B94" s="31"/>
      <c r="C94" s="31"/>
      <c r="D94" s="31"/>
      <c r="E94" s="31"/>
      <c r="F94" s="31"/>
      <c r="G94" s="31"/>
      <c r="H94" s="31"/>
      <c r="I94" s="31"/>
      <c r="J94" s="31"/>
      <c r="K94"/>
      <c r="L94"/>
      <c r="M94"/>
      <c r="N94"/>
      <c r="O94"/>
      <c r="P94"/>
      <c r="Q94"/>
      <c r="R94"/>
      <c r="S94"/>
      <c r="T94"/>
      <c r="U94"/>
    </row>
    <row r="95" spans="2:21" ht="15" customHeight="1" x14ac:dyDescent="0.25">
      <c r="B95" s="31"/>
      <c r="C95" s="31"/>
      <c r="D95" s="31"/>
      <c r="E95" s="31"/>
      <c r="F95" s="31"/>
      <c r="G95" s="31"/>
      <c r="H95" s="31"/>
      <c r="I95" s="31"/>
      <c r="J95" s="31"/>
      <c r="K95"/>
      <c r="L95"/>
      <c r="M95"/>
      <c r="N95"/>
      <c r="O95"/>
      <c r="P95"/>
      <c r="Q95"/>
      <c r="R95"/>
      <c r="S95"/>
      <c r="T95"/>
      <c r="U95"/>
    </row>
    <row r="96" spans="2:21" ht="15" customHeight="1" x14ac:dyDescent="0.25">
      <c r="B96" s="31"/>
      <c r="C96" s="31"/>
      <c r="D96" s="31"/>
      <c r="E96" s="31"/>
      <c r="F96" s="31"/>
      <c r="G96" s="31"/>
      <c r="H96" s="31"/>
      <c r="I96" s="31"/>
      <c r="J96" s="31"/>
      <c r="K96"/>
      <c r="L96"/>
      <c r="M96"/>
      <c r="N96"/>
      <c r="O96"/>
      <c r="P96"/>
      <c r="Q96"/>
      <c r="R96"/>
      <c r="S96"/>
      <c r="T96"/>
      <c r="U96"/>
    </row>
    <row r="97" spans="2:21" ht="15" customHeight="1" x14ac:dyDescent="0.25">
      <c r="B97" s="31"/>
      <c r="C97" s="31"/>
      <c r="D97" s="31"/>
      <c r="E97" s="31"/>
      <c r="F97" s="31"/>
      <c r="G97" s="31"/>
      <c r="H97" s="31"/>
      <c r="I97" s="31"/>
      <c r="J97" s="31"/>
      <c r="K97"/>
      <c r="L97"/>
      <c r="M97"/>
      <c r="N97"/>
      <c r="O97"/>
      <c r="P97"/>
      <c r="Q97"/>
      <c r="R97"/>
      <c r="S97"/>
      <c r="T97"/>
      <c r="U97"/>
    </row>
    <row r="98" spans="2:21" ht="15" customHeight="1" x14ac:dyDescent="0.25">
      <c r="B98" s="31"/>
      <c r="C98" s="31"/>
      <c r="D98" s="31"/>
      <c r="E98" s="31"/>
      <c r="F98" s="31"/>
      <c r="G98" s="31"/>
      <c r="H98" s="31"/>
      <c r="I98" s="31"/>
      <c r="J98" s="31"/>
      <c r="K98"/>
      <c r="L98"/>
      <c r="M98"/>
      <c r="N98"/>
      <c r="O98"/>
      <c r="P98"/>
      <c r="Q98"/>
      <c r="R98"/>
      <c r="S98"/>
      <c r="T98"/>
      <c r="U98"/>
    </row>
    <row r="99" spans="2:21" ht="15" customHeight="1" x14ac:dyDescent="0.25">
      <c r="B99" s="31"/>
      <c r="C99" s="31"/>
      <c r="D99" s="31"/>
      <c r="E99" s="31"/>
      <c r="F99" s="31"/>
      <c r="G99" s="31"/>
      <c r="H99" s="31"/>
      <c r="I99" s="31"/>
      <c r="J99" s="31"/>
      <c r="K99"/>
      <c r="L99"/>
      <c r="M99"/>
      <c r="N99"/>
      <c r="O99"/>
      <c r="P99"/>
      <c r="Q99"/>
      <c r="R99"/>
      <c r="S99"/>
      <c r="T99"/>
      <c r="U99"/>
    </row>
    <row r="100" spans="2:21" ht="15" customHeight="1" x14ac:dyDescent="0.25">
      <c r="B100" s="31"/>
      <c r="C100" s="31"/>
      <c r="D100" s="31"/>
      <c r="E100" s="31"/>
      <c r="F100" s="31"/>
      <c r="G100" s="31"/>
      <c r="H100" s="31"/>
      <c r="I100" s="31"/>
      <c r="J100" s="31"/>
      <c r="K100"/>
      <c r="L100"/>
      <c r="M100"/>
      <c r="N100"/>
      <c r="O100"/>
      <c r="P100"/>
      <c r="Q100"/>
      <c r="R100"/>
      <c r="S100"/>
      <c r="T100"/>
      <c r="U100"/>
    </row>
    <row r="101" spans="2:21" ht="15" customHeight="1" x14ac:dyDescent="0.25">
      <c r="B101" s="31"/>
      <c r="C101" s="31"/>
      <c r="D101" s="31"/>
      <c r="E101" s="31"/>
      <c r="F101" s="31"/>
      <c r="G101" s="31"/>
      <c r="H101" s="31"/>
      <c r="I101" s="31"/>
      <c r="J101" s="31"/>
      <c r="K101"/>
      <c r="L101"/>
      <c r="M101"/>
      <c r="N101"/>
      <c r="O101"/>
      <c r="P101"/>
      <c r="Q101"/>
      <c r="R101"/>
      <c r="S101"/>
      <c r="T101"/>
      <c r="U101"/>
    </row>
  </sheetData>
  <mergeCells count="1">
    <mergeCell ref="H1:I1"/>
  </mergeCells>
  <conditionalFormatting sqref="B1">
    <cfRule type="cellIs" dxfId="86" priority="1" operator="equal">
      <formula>"Incomplete"</formula>
    </cfRule>
    <cfRule type="cellIs" dxfId="85" priority="2" operator="equal">
      <formula>"Flag for Review"</formula>
    </cfRule>
    <cfRule type="cellIs" dxfId="84" priority="3" operator="equal">
      <formula>"Finished"</formula>
    </cfRule>
  </conditionalFormatting>
  <dataValidations count="1">
    <dataValidation type="list" allowBlank="1" showInputMessage="1" showErrorMessage="1" sqref="B1">
      <formula1>"Finished, Flag for Review, Incomplete"</formula1>
    </dataValidation>
  </dataValidations>
  <hyperlinks>
    <hyperlink ref="H1" location="'Point Grid'!A8" display="Return to Point Grid"/>
    <hyperlink ref="H1:I1" location="'Point Grid'!A1" display="Return to Point Grid"/>
  </hyperlinks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U101"/>
  <sheetViews>
    <sheetView zoomScaleNormal="100" workbookViewId="0"/>
  </sheetViews>
  <sheetFormatPr defaultColWidth="9.140625" defaultRowHeight="15" x14ac:dyDescent="0.25"/>
  <cols>
    <col min="1" max="1" width="9.140625" style="21"/>
    <col min="2" max="2" width="16" style="21" bestFit="1" customWidth="1"/>
    <col min="3" max="9" width="11.140625" style="21" customWidth="1"/>
    <col min="10" max="16384" width="9.140625" style="21"/>
  </cols>
  <sheetData>
    <row r="1" spans="1:21" x14ac:dyDescent="0.25">
      <c r="A1" s="7">
        <v>3</v>
      </c>
      <c r="B1" s="27" t="s">
        <v>12</v>
      </c>
      <c r="C1" s="20"/>
      <c r="D1" s="20"/>
      <c r="E1" s="20"/>
      <c r="F1" s="20"/>
      <c r="G1" s="20"/>
      <c r="H1" s="384" t="s">
        <v>24</v>
      </c>
      <c r="I1" s="385"/>
      <c r="K1"/>
      <c r="L1"/>
      <c r="M1"/>
      <c r="N1"/>
      <c r="O1"/>
      <c r="P1"/>
      <c r="Q1"/>
      <c r="R1"/>
      <c r="S1"/>
      <c r="T1"/>
      <c r="U1"/>
    </row>
    <row r="2" spans="1:21" x14ac:dyDescent="0.25">
      <c r="A2" s="22"/>
      <c r="B2" s="19"/>
      <c r="C2" s="19"/>
      <c r="D2" s="19"/>
      <c r="E2" s="19"/>
      <c r="F2" s="19"/>
      <c r="G2" s="19"/>
      <c r="H2" s="19"/>
      <c r="I2" s="23"/>
      <c r="K2"/>
      <c r="L2"/>
      <c r="M2"/>
      <c r="N2"/>
      <c r="O2"/>
      <c r="P2"/>
      <c r="Q2"/>
      <c r="R2"/>
      <c r="S2"/>
      <c r="T2"/>
      <c r="U2"/>
    </row>
    <row r="3" spans="1:21" x14ac:dyDescent="0.25">
      <c r="A3" s="8" t="s">
        <v>13</v>
      </c>
      <c r="B3" s="17"/>
      <c r="C3" s="17"/>
      <c r="D3" s="17"/>
      <c r="E3" s="17"/>
      <c r="F3" s="17"/>
      <c r="G3" s="17"/>
      <c r="H3" s="17"/>
      <c r="I3" s="18"/>
      <c r="J3" s="31"/>
      <c r="K3"/>
      <c r="L3"/>
      <c r="M3"/>
      <c r="N3"/>
      <c r="O3"/>
      <c r="P3"/>
      <c r="Q3"/>
      <c r="R3"/>
      <c r="S3"/>
      <c r="T3"/>
      <c r="U3"/>
    </row>
    <row r="4" spans="1:21" x14ac:dyDescent="0.25">
      <c r="A4" s="9">
        <f>INDEX('Point Grid'!B:B,MATCH(A1,'Point Grid'!A:A,0))</f>
        <v>1</v>
      </c>
      <c r="B4" s="17" t="s">
        <v>35</v>
      </c>
      <c r="C4" s="17"/>
      <c r="D4" s="17"/>
      <c r="E4" s="17"/>
      <c r="F4" s="17"/>
      <c r="G4" s="17"/>
      <c r="H4" s="17"/>
      <c r="I4" s="18"/>
      <c r="J4" s="31"/>
      <c r="K4"/>
      <c r="L4"/>
      <c r="M4"/>
      <c r="N4"/>
      <c r="O4"/>
      <c r="P4"/>
      <c r="Q4"/>
      <c r="R4"/>
      <c r="S4"/>
      <c r="T4"/>
      <c r="U4"/>
    </row>
    <row r="5" spans="1:21" x14ac:dyDescent="0.25">
      <c r="A5" s="16"/>
      <c r="B5" s="17"/>
      <c r="C5" s="17"/>
      <c r="D5" s="17"/>
      <c r="E5" s="17"/>
      <c r="F5" s="17"/>
      <c r="G5" s="17"/>
      <c r="H5" s="17"/>
      <c r="I5" s="18"/>
      <c r="J5" s="31"/>
      <c r="K5"/>
      <c r="L5"/>
      <c r="M5"/>
      <c r="N5"/>
      <c r="O5"/>
      <c r="P5"/>
      <c r="Q5"/>
      <c r="R5"/>
      <c r="S5"/>
      <c r="T5"/>
      <c r="U5"/>
    </row>
    <row r="6" spans="1:21" x14ac:dyDescent="0.25">
      <c r="A6" s="25" t="s">
        <v>2</v>
      </c>
      <c r="B6" s="17" t="s">
        <v>252</v>
      </c>
      <c r="C6" s="17"/>
      <c r="D6" s="17"/>
      <c r="E6" s="17"/>
      <c r="F6" s="17"/>
      <c r="G6" s="17"/>
      <c r="H6" s="17"/>
      <c r="I6" s="18"/>
      <c r="J6" s="31"/>
      <c r="K6"/>
      <c r="L6"/>
      <c r="M6"/>
      <c r="N6"/>
      <c r="O6"/>
      <c r="P6"/>
      <c r="Q6"/>
      <c r="R6"/>
      <c r="S6"/>
      <c r="T6"/>
      <c r="U6"/>
    </row>
    <row r="7" spans="1:21" ht="15.75" thickBot="1" x14ac:dyDescent="0.3">
      <c r="A7" s="9">
        <f>INDEX('Point Grid'!$C$8:$I$54,MATCH($A$1,'Point Grid'!$A$8:$A$54,0),MATCH(A6,'Point Grid'!$C$7:$I$7,0))</f>
        <v>1</v>
      </c>
      <c r="B7" s="17"/>
      <c r="C7" s="17"/>
      <c r="D7" s="17"/>
      <c r="E7" s="17"/>
      <c r="F7" s="17"/>
      <c r="G7" s="17"/>
      <c r="H7" s="17"/>
      <c r="I7" s="18"/>
      <c r="J7" s="31"/>
      <c r="K7"/>
      <c r="L7"/>
      <c r="M7"/>
      <c r="N7"/>
      <c r="O7"/>
      <c r="P7"/>
      <c r="Q7"/>
      <c r="R7"/>
      <c r="S7"/>
      <c r="T7"/>
      <c r="U7"/>
    </row>
    <row r="8" spans="1:21" ht="15.75" thickBot="1" x14ac:dyDescent="0.3">
      <c r="A8" s="5"/>
      <c r="B8" s="35"/>
      <c r="C8" s="28"/>
      <c r="D8" s="28"/>
      <c r="E8" s="28"/>
      <c r="F8" s="28"/>
      <c r="G8" s="28"/>
      <c r="H8" s="28"/>
      <c r="I8" s="18"/>
      <c r="J8" s="31"/>
      <c r="K8"/>
      <c r="L8"/>
      <c r="M8"/>
      <c r="N8"/>
      <c r="O8"/>
      <c r="P8"/>
      <c r="Q8"/>
      <c r="R8"/>
      <c r="S8"/>
      <c r="T8"/>
      <c r="U8"/>
    </row>
    <row r="9" spans="1:21" x14ac:dyDescent="0.25">
      <c r="A9" s="25"/>
      <c r="B9" s="35"/>
      <c r="C9" s="17"/>
      <c r="D9" s="17"/>
      <c r="E9" s="17"/>
      <c r="F9" s="17"/>
      <c r="G9" s="17"/>
      <c r="H9" s="17"/>
      <c r="I9" s="18"/>
      <c r="J9" s="31"/>
      <c r="K9"/>
      <c r="L9"/>
      <c r="M9"/>
      <c r="N9"/>
      <c r="O9"/>
      <c r="P9"/>
      <c r="Q9"/>
      <c r="R9"/>
      <c r="S9"/>
      <c r="T9"/>
      <c r="U9"/>
    </row>
    <row r="10" spans="1:21" x14ac:dyDescent="0.25">
      <c r="A10" s="25"/>
      <c r="B10" s="35"/>
      <c r="C10" s="17"/>
      <c r="D10" s="17"/>
      <c r="E10" s="17"/>
      <c r="F10" s="17"/>
      <c r="G10" s="17"/>
      <c r="H10" s="17"/>
      <c r="I10" s="18"/>
      <c r="J10" s="31"/>
      <c r="K10"/>
      <c r="L10"/>
      <c r="M10"/>
      <c r="N10"/>
      <c r="O10"/>
      <c r="P10"/>
      <c r="Q10"/>
      <c r="R10"/>
      <c r="S10"/>
      <c r="T10"/>
      <c r="U10"/>
    </row>
    <row r="11" spans="1:21" x14ac:dyDescent="0.25">
      <c r="A11" s="25"/>
      <c r="B11" s="34" t="s">
        <v>37</v>
      </c>
      <c r="C11" s="17" t="s">
        <v>253</v>
      </c>
      <c r="D11" s="17"/>
      <c r="E11" s="17"/>
      <c r="F11" s="17"/>
      <c r="G11" s="17"/>
      <c r="H11" s="17"/>
      <c r="I11" s="18"/>
      <c r="J11" s="31"/>
      <c r="K11"/>
      <c r="L11"/>
      <c r="M11"/>
      <c r="N11"/>
      <c r="O11"/>
      <c r="P11"/>
      <c r="Q11"/>
      <c r="R11"/>
      <c r="S11"/>
      <c r="T11"/>
      <c r="U11"/>
    </row>
    <row r="12" spans="1:21" x14ac:dyDescent="0.25">
      <c r="A12" s="25"/>
      <c r="B12" s="34"/>
      <c r="C12" s="17"/>
      <c r="D12" s="17"/>
      <c r="E12" s="17"/>
      <c r="F12" s="17"/>
      <c r="G12" s="17"/>
      <c r="H12" s="17"/>
      <c r="I12" s="18"/>
      <c r="J12" s="31"/>
      <c r="K12"/>
      <c r="L12"/>
      <c r="M12"/>
      <c r="N12"/>
      <c r="O12"/>
      <c r="P12"/>
      <c r="Q12"/>
      <c r="R12"/>
      <c r="S12"/>
      <c r="T12"/>
      <c r="U12"/>
    </row>
    <row r="13" spans="1:21" x14ac:dyDescent="0.25">
      <c r="A13" s="25"/>
      <c r="B13" s="34"/>
      <c r="C13" s="17"/>
      <c r="D13" s="17"/>
      <c r="E13" s="17"/>
      <c r="F13" s="17"/>
      <c r="G13" s="17"/>
      <c r="H13" s="17"/>
      <c r="I13" s="18"/>
      <c r="J13" s="31"/>
      <c r="K13"/>
      <c r="L13"/>
      <c r="M13"/>
      <c r="N13"/>
      <c r="O13"/>
      <c r="P13"/>
      <c r="Q13"/>
      <c r="R13"/>
      <c r="S13"/>
      <c r="T13"/>
      <c r="U13"/>
    </row>
    <row r="14" spans="1:21" x14ac:dyDescent="0.25">
      <c r="A14" s="25"/>
      <c r="B14" s="34" t="s">
        <v>36</v>
      </c>
      <c r="C14" s="17" t="s">
        <v>254</v>
      </c>
      <c r="D14" s="17"/>
      <c r="E14" s="17"/>
      <c r="F14" s="17"/>
      <c r="G14" s="17"/>
      <c r="H14" s="17"/>
      <c r="I14" s="18"/>
      <c r="J14" s="31"/>
      <c r="K14"/>
      <c r="L14"/>
      <c r="M14"/>
      <c r="N14"/>
      <c r="O14"/>
      <c r="P14"/>
      <c r="Q14"/>
      <c r="R14"/>
      <c r="S14"/>
      <c r="T14"/>
      <c r="U14"/>
    </row>
    <row r="15" spans="1:21" x14ac:dyDescent="0.25">
      <c r="A15" s="25"/>
      <c r="B15" s="34"/>
      <c r="C15" s="17"/>
      <c r="D15" s="17"/>
      <c r="E15" s="17"/>
      <c r="F15" s="17"/>
      <c r="G15" s="17"/>
      <c r="H15" s="17"/>
      <c r="I15" s="18"/>
      <c r="J15" s="31"/>
      <c r="K15"/>
      <c r="L15"/>
      <c r="M15"/>
      <c r="N15"/>
      <c r="O15"/>
      <c r="P15"/>
      <c r="Q15"/>
      <c r="R15"/>
      <c r="S15"/>
      <c r="T15"/>
      <c r="U15"/>
    </row>
    <row r="16" spans="1:21" x14ac:dyDescent="0.25">
      <c r="A16" s="25"/>
      <c r="B16" s="34"/>
      <c r="C16" s="17"/>
      <c r="D16" s="17"/>
      <c r="E16" s="17"/>
      <c r="F16" s="17"/>
      <c r="G16" s="17"/>
      <c r="H16" s="17"/>
      <c r="I16" s="18"/>
      <c r="J16" s="31"/>
      <c r="K16"/>
      <c r="L16"/>
      <c r="M16"/>
      <c r="N16"/>
      <c r="O16"/>
      <c r="P16"/>
      <c r="Q16"/>
      <c r="R16"/>
      <c r="S16"/>
      <c r="T16"/>
      <c r="U16"/>
    </row>
    <row r="17" spans="1:21" x14ac:dyDescent="0.25">
      <c r="A17" s="25"/>
      <c r="B17" s="34" t="s">
        <v>38</v>
      </c>
      <c r="C17" s="17" t="s">
        <v>256</v>
      </c>
      <c r="D17" s="17"/>
      <c r="E17" s="17"/>
      <c r="F17" s="17"/>
      <c r="G17" s="17"/>
      <c r="H17" s="17"/>
      <c r="I17" s="18"/>
      <c r="J17" s="31"/>
      <c r="K17"/>
      <c r="L17"/>
      <c r="M17"/>
      <c r="N17"/>
      <c r="O17"/>
      <c r="P17"/>
      <c r="Q17"/>
      <c r="R17"/>
      <c r="S17"/>
      <c r="T17"/>
      <c r="U17"/>
    </row>
    <row r="18" spans="1:21" ht="15" customHeight="1" x14ac:dyDescent="0.25">
      <c r="A18" s="25"/>
      <c r="B18" s="34"/>
      <c r="C18" s="17" t="s">
        <v>257</v>
      </c>
      <c r="D18" s="17"/>
      <c r="E18" s="17"/>
      <c r="F18" s="17"/>
      <c r="G18" s="17"/>
      <c r="H18" s="17"/>
      <c r="I18" s="18"/>
      <c r="J18" s="31"/>
      <c r="K18"/>
      <c r="L18"/>
      <c r="M18"/>
      <c r="N18"/>
      <c r="O18"/>
      <c r="P18"/>
      <c r="Q18"/>
      <c r="R18"/>
      <c r="S18"/>
      <c r="T18"/>
      <c r="U18"/>
    </row>
    <row r="19" spans="1:21" ht="15" customHeight="1" x14ac:dyDescent="0.25">
      <c r="A19" s="25"/>
      <c r="B19" s="34"/>
      <c r="C19" s="17"/>
      <c r="D19" s="17"/>
      <c r="E19" s="17"/>
      <c r="F19" s="17"/>
      <c r="G19" s="17"/>
      <c r="H19" s="17"/>
      <c r="I19" s="18"/>
      <c r="J19" s="31"/>
      <c r="K19"/>
      <c r="L19"/>
      <c r="M19"/>
      <c r="N19"/>
      <c r="O19"/>
      <c r="P19"/>
      <c r="Q19"/>
      <c r="R19"/>
      <c r="S19"/>
      <c r="T19"/>
      <c r="U19"/>
    </row>
    <row r="20" spans="1:21" ht="15" customHeight="1" x14ac:dyDescent="0.25">
      <c r="A20" s="25"/>
      <c r="B20" s="34" t="s">
        <v>39</v>
      </c>
      <c r="C20" s="17" t="s">
        <v>255</v>
      </c>
      <c r="D20" s="17"/>
      <c r="E20" s="17"/>
      <c r="F20" s="17"/>
      <c r="G20" s="17"/>
      <c r="H20" s="17"/>
      <c r="I20" s="18"/>
      <c r="J20" s="31"/>
      <c r="K20"/>
      <c r="L20"/>
      <c r="M20"/>
      <c r="N20"/>
      <c r="O20"/>
      <c r="P20"/>
      <c r="Q20"/>
      <c r="R20"/>
      <c r="S20"/>
      <c r="T20"/>
      <c r="U20"/>
    </row>
    <row r="21" spans="1:21" ht="15" customHeight="1" x14ac:dyDescent="0.25">
      <c r="A21" s="25"/>
      <c r="B21" s="34"/>
      <c r="C21" s="17"/>
      <c r="D21" s="17"/>
      <c r="E21" s="17"/>
      <c r="F21" s="17"/>
      <c r="G21" s="17"/>
      <c r="H21" s="17"/>
      <c r="I21" s="18"/>
      <c r="J21" s="31"/>
      <c r="K21"/>
      <c r="L21"/>
      <c r="M21"/>
      <c r="N21"/>
      <c r="O21"/>
      <c r="P21"/>
      <c r="Q21"/>
      <c r="R21"/>
      <c r="S21"/>
      <c r="T21"/>
      <c r="U21"/>
    </row>
    <row r="22" spans="1:21" ht="15" customHeight="1" x14ac:dyDescent="0.25">
      <c r="A22" s="25"/>
      <c r="B22" s="34"/>
      <c r="C22" s="17"/>
      <c r="D22" s="17"/>
      <c r="E22" s="17"/>
      <c r="F22" s="17"/>
      <c r="G22" s="17"/>
      <c r="H22" s="17"/>
      <c r="I22" s="18"/>
      <c r="J22" s="31"/>
      <c r="K22"/>
      <c r="L22"/>
      <c r="M22"/>
      <c r="N22"/>
      <c r="O22"/>
      <c r="P22"/>
      <c r="Q22"/>
      <c r="R22"/>
      <c r="S22"/>
      <c r="T22"/>
      <c r="U22"/>
    </row>
    <row r="23" spans="1:21" ht="15" customHeight="1" x14ac:dyDescent="0.25">
      <c r="A23" s="25"/>
      <c r="B23" s="34"/>
      <c r="C23" s="17"/>
      <c r="D23" s="17"/>
      <c r="E23" s="17"/>
      <c r="F23" s="17"/>
      <c r="G23" s="17"/>
      <c r="H23" s="17"/>
      <c r="I23" s="18"/>
      <c r="J23" s="31"/>
      <c r="K23"/>
      <c r="L23"/>
      <c r="M23"/>
      <c r="N23"/>
      <c r="O23"/>
      <c r="P23"/>
      <c r="Q23"/>
      <c r="R23"/>
      <c r="S23"/>
      <c r="T23"/>
      <c r="U23"/>
    </row>
    <row r="24" spans="1:21" ht="15" customHeight="1" x14ac:dyDescent="0.25">
      <c r="A24" s="25"/>
      <c r="B24" s="34"/>
      <c r="C24" s="17"/>
      <c r="D24" s="17"/>
      <c r="E24" s="17"/>
      <c r="F24" s="17"/>
      <c r="G24" s="17"/>
      <c r="H24" s="17"/>
      <c r="I24" s="18"/>
      <c r="J24" s="31"/>
      <c r="K24"/>
      <c r="L24"/>
      <c r="M24"/>
      <c r="N24"/>
      <c r="O24"/>
      <c r="P24"/>
      <c r="Q24"/>
      <c r="R24"/>
      <c r="S24"/>
      <c r="T24"/>
      <c r="U24"/>
    </row>
    <row r="25" spans="1:21" ht="15" customHeight="1" x14ac:dyDescent="0.25">
      <c r="A25" s="25"/>
      <c r="B25" s="34"/>
      <c r="C25" s="17"/>
      <c r="D25" s="17"/>
      <c r="E25" s="17"/>
      <c r="F25" s="17"/>
      <c r="G25" s="17"/>
      <c r="H25" s="17"/>
      <c r="I25" s="18"/>
      <c r="J25" s="31"/>
      <c r="K25"/>
      <c r="L25"/>
      <c r="M25"/>
      <c r="N25"/>
      <c r="O25"/>
      <c r="P25"/>
      <c r="Q25"/>
      <c r="R25"/>
      <c r="S25"/>
      <c r="T25"/>
      <c r="U25"/>
    </row>
    <row r="26" spans="1:21" ht="15" customHeight="1" x14ac:dyDescent="0.25">
      <c r="A26" s="25"/>
      <c r="B26" s="34"/>
      <c r="C26" s="17"/>
      <c r="D26" s="17"/>
      <c r="E26" s="17"/>
      <c r="F26" s="17"/>
      <c r="G26" s="17"/>
      <c r="H26" s="17"/>
      <c r="I26" s="18"/>
      <c r="J26" s="31"/>
      <c r="K26"/>
      <c r="L26"/>
      <c r="M26"/>
      <c r="N26"/>
      <c r="O26"/>
      <c r="P26"/>
      <c r="Q26"/>
      <c r="R26"/>
      <c r="S26"/>
      <c r="T26"/>
      <c r="U26"/>
    </row>
    <row r="27" spans="1:21" ht="15" customHeight="1" x14ac:dyDescent="0.25">
      <c r="A27" s="25"/>
      <c r="B27" s="17"/>
      <c r="C27" s="17"/>
      <c r="D27" s="17"/>
      <c r="E27" s="17"/>
      <c r="F27" s="17"/>
      <c r="G27" s="17"/>
      <c r="H27" s="17"/>
      <c r="I27" s="18"/>
      <c r="J27" s="31"/>
      <c r="K27"/>
      <c r="L27"/>
      <c r="M27"/>
      <c r="N27"/>
      <c r="O27"/>
      <c r="P27"/>
      <c r="Q27"/>
      <c r="R27"/>
      <c r="S27"/>
      <c r="T27"/>
      <c r="U27"/>
    </row>
    <row r="28" spans="1:21" ht="15" customHeight="1" x14ac:dyDescent="0.25">
      <c r="A28" s="25"/>
      <c r="B28" s="17"/>
      <c r="C28" s="17"/>
      <c r="D28" s="17"/>
      <c r="E28" s="17"/>
      <c r="F28" s="17"/>
      <c r="G28" s="17"/>
      <c r="H28" s="17"/>
      <c r="I28" s="18"/>
      <c r="J28" s="31"/>
      <c r="K28"/>
      <c r="L28"/>
      <c r="M28"/>
      <c r="N28"/>
      <c r="O28"/>
      <c r="P28"/>
      <c r="Q28"/>
      <c r="R28"/>
      <c r="S28"/>
      <c r="T28"/>
      <c r="U28"/>
    </row>
    <row r="29" spans="1:21" ht="15" customHeight="1" x14ac:dyDescent="0.25">
      <c r="A29" s="22"/>
      <c r="B29" s="17"/>
      <c r="C29" s="17"/>
      <c r="D29" s="17"/>
      <c r="E29" s="17"/>
      <c r="F29" s="17"/>
      <c r="G29" s="17"/>
      <c r="H29" s="17"/>
      <c r="I29" s="18"/>
      <c r="J29" s="31"/>
      <c r="K29"/>
      <c r="L29"/>
      <c r="M29"/>
      <c r="N29"/>
      <c r="O29"/>
      <c r="P29"/>
      <c r="Q29"/>
      <c r="R29"/>
      <c r="S29"/>
      <c r="T29"/>
      <c r="U29"/>
    </row>
    <row r="30" spans="1:21" ht="15" customHeight="1" thickBot="1" x14ac:dyDescent="0.3">
      <c r="A30" s="24"/>
      <c r="B30" s="32"/>
      <c r="C30" s="32"/>
      <c r="D30" s="32"/>
      <c r="E30" s="32"/>
      <c r="F30" s="32"/>
      <c r="G30" s="32"/>
      <c r="H30" s="32"/>
      <c r="I30" s="33"/>
      <c r="J30" s="31"/>
      <c r="K30"/>
      <c r="L30"/>
      <c r="M30"/>
      <c r="N30"/>
      <c r="O30"/>
      <c r="P30"/>
      <c r="Q30"/>
      <c r="R30"/>
      <c r="S30"/>
      <c r="T30"/>
      <c r="U30"/>
    </row>
    <row r="31" spans="1:21" ht="15" customHeight="1" x14ac:dyDescent="0.25">
      <c r="B31" s="31"/>
      <c r="C31" s="31"/>
      <c r="D31" s="31"/>
      <c r="E31" s="31"/>
      <c r="F31" s="31"/>
      <c r="G31" s="31"/>
      <c r="H31" s="31"/>
      <c r="I31" s="31"/>
      <c r="J31" s="31"/>
      <c r="K31"/>
      <c r="L31"/>
      <c r="M31"/>
      <c r="N31"/>
      <c r="O31"/>
      <c r="P31"/>
      <c r="Q31"/>
      <c r="R31"/>
      <c r="S31"/>
      <c r="T31"/>
      <c r="U31"/>
    </row>
    <row r="32" spans="1:21" ht="15" customHeight="1" x14ac:dyDescent="0.25">
      <c r="J32" s="31"/>
      <c r="K32"/>
      <c r="L32"/>
      <c r="M32"/>
      <c r="N32"/>
      <c r="O32"/>
      <c r="P32"/>
      <c r="Q32"/>
      <c r="R32"/>
      <c r="S32"/>
      <c r="T32"/>
      <c r="U32"/>
    </row>
    <row r="33" spans="2:21" ht="15" customHeight="1" x14ac:dyDescent="0.25">
      <c r="J33" s="31"/>
      <c r="K33"/>
      <c r="L33"/>
      <c r="M33"/>
      <c r="N33"/>
      <c r="O33"/>
      <c r="P33"/>
      <c r="Q33"/>
      <c r="R33"/>
      <c r="S33"/>
      <c r="T33"/>
      <c r="U33"/>
    </row>
    <row r="34" spans="2:21" ht="15" customHeight="1" x14ac:dyDescent="0.25">
      <c r="J34" s="31"/>
      <c r="K34"/>
      <c r="L34"/>
      <c r="M34"/>
      <c r="N34"/>
      <c r="O34"/>
      <c r="P34"/>
      <c r="Q34"/>
      <c r="R34"/>
      <c r="S34"/>
      <c r="T34"/>
      <c r="U34"/>
    </row>
    <row r="35" spans="2:21" ht="15" customHeight="1" x14ac:dyDescent="0.25">
      <c r="J35" s="31"/>
      <c r="K35"/>
      <c r="L35"/>
      <c r="M35"/>
      <c r="N35"/>
      <c r="O35"/>
      <c r="P35"/>
      <c r="Q35"/>
      <c r="R35"/>
      <c r="S35"/>
      <c r="T35"/>
      <c r="U35"/>
    </row>
    <row r="36" spans="2:21" ht="15" customHeight="1" x14ac:dyDescent="0.25">
      <c r="J36" s="31"/>
      <c r="K36"/>
      <c r="L36"/>
      <c r="M36"/>
      <c r="N36"/>
      <c r="O36"/>
      <c r="P36"/>
      <c r="Q36"/>
      <c r="R36"/>
      <c r="S36"/>
      <c r="T36"/>
      <c r="U36"/>
    </row>
    <row r="37" spans="2:21" ht="15" customHeight="1" x14ac:dyDescent="0.25">
      <c r="J37" s="31"/>
      <c r="K37"/>
      <c r="L37"/>
      <c r="M37"/>
      <c r="N37"/>
      <c r="O37"/>
      <c r="P37"/>
      <c r="Q37"/>
      <c r="R37"/>
      <c r="S37"/>
      <c r="T37"/>
      <c r="U37"/>
    </row>
    <row r="38" spans="2:21" ht="15" customHeight="1" x14ac:dyDescent="0.25">
      <c r="J38" s="31"/>
      <c r="K38"/>
      <c r="L38"/>
      <c r="M38"/>
      <c r="N38"/>
      <c r="O38"/>
      <c r="P38"/>
      <c r="Q38"/>
      <c r="R38"/>
      <c r="S38"/>
      <c r="T38"/>
      <c r="U38"/>
    </row>
    <row r="39" spans="2:21" ht="15" customHeight="1" x14ac:dyDescent="0.25">
      <c r="J39" s="31"/>
      <c r="K39"/>
      <c r="L39"/>
      <c r="M39"/>
      <c r="N39"/>
      <c r="O39"/>
      <c r="P39"/>
      <c r="Q39"/>
      <c r="R39"/>
      <c r="S39"/>
      <c r="T39"/>
      <c r="U39"/>
    </row>
    <row r="40" spans="2:21" ht="15" customHeight="1" x14ac:dyDescent="0.25">
      <c r="J40" s="31"/>
      <c r="K40"/>
      <c r="L40"/>
      <c r="M40"/>
      <c r="N40"/>
      <c r="O40"/>
      <c r="P40"/>
      <c r="Q40"/>
      <c r="R40"/>
      <c r="S40"/>
      <c r="T40"/>
      <c r="U40"/>
    </row>
    <row r="41" spans="2:21" ht="15" customHeight="1" x14ac:dyDescent="0.25">
      <c r="J41" s="31"/>
      <c r="K41"/>
      <c r="L41"/>
      <c r="M41"/>
      <c r="N41"/>
      <c r="O41"/>
      <c r="P41"/>
      <c r="Q41"/>
      <c r="R41"/>
      <c r="S41"/>
      <c r="T41"/>
      <c r="U41"/>
    </row>
    <row r="42" spans="2:21" ht="15" customHeight="1" x14ac:dyDescent="0.25">
      <c r="J42" s="31"/>
      <c r="K42"/>
      <c r="L42"/>
      <c r="M42"/>
      <c r="N42"/>
      <c r="O42"/>
      <c r="P42"/>
      <c r="Q42"/>
      <c r="R42"/>
      <c r="S42"/>
      <c r="T42"/>
      <c r="U42"/>
    </row>
    <row r="43" spans="2:21" ht="15" customHeight="1" x14ac:dyDescent="0.25">
      <c r="J43" s="31"/>
      <c r="K43"/>
      <c r="L43"/>
      <c r="M43"/>
      <c r="N43"/>
      <c r="O43"/>
      <c r="P43"/>
      <c r="Q43"/>
      <c r="R43"/>
      <c r="S43"/>
      <c r="T43"/>
      <c r="U43"/>
    </row>
    <row r="44" spans="2:21" ht="15" customHeight="1" x14ac:dyDescent="0.25">
      <c r="J44" s="31"/>
      <c r="K44"/>
      <c r="L44"/>
      <c r="M44"/>
      <c r="N44"/>
      <c r="O44"/>
      <c r="P44"/>
      <c r="Q44"/>
      <c r="R44"/>
      <c r="S44"/>
      <c r="T44"/>
      <c r="U44"/>
    </row>
    <row r="45" spans="2:21" ht="15" customHeight="1" x14ac:dyDescent="0.25">
      <c r="J45" s="31"/>
      <c r="K45"/>
      <c r="L45"/>
      <c r="M45"/>
      <c r="N45"/>
      <c r="O45"/>
      <c r="P45"/>
      <c r="Q45"/>
      <c r="R45"/>
      <c r="S45"/>
      <c r="T45"/>
      <c r="U45"/>
    </row>
    <row r="46" spans="2:21" ht="15" customHeight="1" x14ac:dyDescent="0.25">
      <c r="B46" s="31"/>
      <c r="C46" s="31"/>
      <c r="D46" s="31"/>
      <c r="E46" s="31"/>
      <c r="F46" s="31"/>
      <c r="G46" s="31"/>
      <c r="H46" s="31"/>
      <c r="I46" s="31"/>
      <c r="J46" s="31"/>
      <c r="K46"/>
      <c r="L46"/>
      <c r="M46"/>
      <c r="N46"/>
      <c r="O46"/>
      <c r="P46"/>
      <c r="Q46"/>
      <c r="R46"/>
      <c r="S46"/>
      <c r="T46"/>
      <c r="U46"/>
    </row>
    <row r="47" spans="2:21" ht="15" customHeight="1" x14ac:dyDescent="0.25">
      <c r="B47" s="31"/>
      <c r="C47" s="31"/>
      <c r="D47" s="31"/>
      <c r="E47" s="31"/>
      <c r="F47" s="31"/>
      <c r="G47" s="31"/>
      <c r="H47" s="31"/>
      <c r="I47" s="31"/>
      <c r="J47" s="31"/>
      <c r="K47"/>
      <c r="L47"/>
      <c r="M47"/>
      <c r="N47"/>
      <c r="O47"/>
      <c r="P47"/>
      <c r="Q47"/>
      <c r="R47"/>
      <c r="S47"/>
      <c r="T47"/>
      <c r="U47"/>
    </row>
    <row r="48" spans="2:21" ht="15" customHeight="1" x14ac:dyDescent="0.25">
      <c r="B48" s="31"/>
      <c r="C48" s="31"/>
      <c r="D48" s="31"/>
      <c r="E48" s="31"/>
      <c r="F48" s="31"/>
      <c r="G48" s="31"/>
      <c r="H48" s="31"/>
      <c r="I48" s="31"/>
      <c r="J48" s="31"/>
      <c r="K48"/>
      <c r="L48"/>
      <c r="M48"/>
      <c r="N48"/>
      <c r="O48"/>
      <c r="P48"/>
      <c r="Q48"/>
      <c r="R48"/>
      <c r="S48"/>
      <c r="T48"/>
      <c r="U48"/>
    </row>
    <row r="49" spans="2:21" ht="15" customHeight="1" x14ac:dyDescent="0.25">
      <c r="B49" s="31"/>
      <c r="C49" s="31"/>
      <c r="D49" s="31"/>
      <c r="E49" s="31"/>
      <c r="F49" s="31"/>
      <c r="G49" s="31"/>
      <c r="H49" s="31"/>
      <c r="I49" s="31"/>
      <c r="J49" s="31"/>
      <c r="K49"/>
      <c r="L49"/>
      <c r="M49"/>
      <c r="N49"/>
      <c r="O49"/>
      <c r="P49"/>
      <c r="Q49"/>
      <c r="R49"/>
      <c r="S49"/>
      <c r="T49"/>
      <c r="U49"/>
    </row>
    <row r="50" spans="2:21" ht="15" customHeight="1" x14ac:dyDescent="0.25">
      <c r="B50" s="31"/>
      <c r="C50" s="31"/>
      <c r="D50" s="31"/>
      <c r="E50" s="31"/>
      <c r="F50" s="31"/>
      <c r="G50" s="31"/>
      <c r="H50" s="31"/>
      <c r="I50" s="31"/>
      <c r="J50" s="31"/>
      <c r="K50"/>
      <c r="L50"/>
      <c r="M50"/>
      <c r="N50"/>
      <c r="O50"/>
      <c r="P50"/>
      <c r="Q50"/>
      <c r="R50"/>
      <c r="S50"/>
      <c r="T50"/>
      <c r="U50"/>
    </row>
    <row r="51" spans="2:21" ht="15" customHeight="1" x14ac:dyDescent="0.25">
      <c r="B51" s="31"/>
      <c r="C51" s="31"/>
      <c r="D51" s="31"/>
      <c r="E51" s="31"/>
      <c r="F51" s="31"/>
      <c r="G51" s="31"/>
      <c r="H51" s="31"/>
      <c r="I51" s="31"/>
      <c r="J51" s="31"/>
      <c r="K51"/>
      <c r="L51"/>
      <c r="M51"/>
      <c r="N51"/>
      <c r="O51"/>
      <c r="P51"/>
      <c r="Q51"/>
      <c r="R51"/>
      <c r="S51"/>
      <c r="T51"/>
      <c r="U51"/>
    </row>
    <row r="52" spans="2:21" ht="15" customHeight="1" x14ac:dyDescent="0.25">
      <c r="B52" s="31"/>
      <c r="C52" s="31"/>
      <c r="D52" s="31"/>
      <c r="E52" s="31"/>
      <c r="F52" s="31"/>
      <c r="G52" s="31"/>
      <c r="H52" s="31"/>
      <c r="I52" s="31"/>
      <c r="J52" s="31"/>
      <c r="K52"/>
      <c r="L52"/>
      <c r="M52"/>
      <c r="N52"/>
      <c r="O52"/>
      <c r="P52"/>
      <c r="Q52"/>
      <c r="R52"/>
      <c r="S52"/>
      <c r="T52"/>
      <c r="U52"/>
    </row>
    <row r="53" spans="2:21" ht="15" customHeight="1" x14ac:dyDescent="0.25">
      <c r="B53" s="31"/>
      <c r="C53" s="31"/>
      <c r="D53" s="31"/>
      <c r="E53" s="31"/>
      <c r="F53" s="31"/>
      <c r="G53" s="31"/>
      <c r="H53" s="31"/>
      <c r="I53" s="31"/>
      <c r="J53" s="31"/>
      <c r="K53"/>
      <c r="L53"/>
      <c r="M53"/>
      <c r="N53"/>
      <c r="O53"/>
      <c r="P53"/>
      <c r="Q53"/>
      <c r="R53"/>
      <c r="S53"/>
      <c r="T53"/>
      <c r="U53"/>
    </row>
    <row r="54" spans="2:21" ht="15" customHeight="1" x14ac:dyDescent="0.25">
      <c r="B54" s="31"/>
      <c r="C54" s="31"/>
      <c r="D54" s="31"/>
      <c r="E54" s="31"/>
      <c r="F54" s="31"/>
      <c r="G54" s="31"/>
      <c r="H54" s="31"/>
      <c r="I54" s="31"/>
      <c r="J54" s="31"/>
      <c r="K54"/>
      <c r="L54"/>
      <c r="M54"/>
      <c r="N54"/>
      <c r="O54"/>
      <c r="P54"/>
      <c r="Q54"/>
      <c r="R54"/>
      <c r="S54"/>
      <c r="T54"/>
      <c r="U54"/>
    </row>
    <row r="55" spans="2:21" ht="15" customHeight="1" x14ac:dyDescent="0.25">
      <c r="B55" s="31"/>
      <c r="C55" s="31"/>
      <c r="D55" s="31"/>
      <c r="E55" s="31"/>
      <c r="F55" s="31"/>
      <c r="G55" s="31"/>
      <c r="H55" s="31"/>
      <c r="I55" s="31"/>
      <c r="J55" s="31"/>
      <c r="K55"/>
      <c r="L55"/>
      <c r="M55"/>
      <c r="N55"/>
      <c r="O55"/>
      <c r="P55"/>
      <c r="Q55"/>
      <c r="R55"/>
      <c r="S55"/>
      <c r="T55"/>
      <c r="U55"/>
    </row>
    <row r="56" spans="2:21" ht="15" customHeight="1" x14ac:dyDescent="0.25">
      <c r="B56" s="31"/>
      <c r="C56" s="31"/>
      <c r="D56" s="31"/>
      <c r="E56" s="31"/>
      <c r="F56" s="31"/>
      <c r="G56" s="31"/>
      <c r="H56" s="31"/>
      <c r="I56" s="31"/>
      <c r="J56" s="31"/>
      <c r="K56"/>
      <c r="L56"/>
      <c r="M56"/>
      <c r="N56"/>
      <c r="O56"/>
      <c r="P56"/>
      <c r="Q56"/>
      <c r="R56"/>
      <c r="S56"/>
      <c r="T56"/>
      <c r="U56"/>
    </row>
    <row r="57" spans="2:21" ht="15" customHeight="1" x14ac:dyDescent="0.25">
      <c r="B57" s="31"/>
      <c r="C57" s="31"/>
      <c r="D57" s="31"/>
      <c r="E57" s="31"/>
      <c r="F57" s="31"/>
      <c r="G57" s="31"/>
      <c r="H57" s="31"/>
      <c r="I57" s="31"/>
      <c r="J57" s="31"/>
      <c r="K57"/>
      <c r="L57"/>
      <c r="M57"/>
      <c r="N57"/>
      <c r="O57"/>
      <c r="P57"/>
      <c r="Q57"/>
      <c r="R57"/>
      <c r="S57"/>
      <c r="T57"/>
      <c r="U57"/>
    </row>
    <row r="58" spans="2:21" ht="15" customHeight="1" x14ac:dyDescent="0.25">
      <c r="B58" s="31"/>
      <c r="C58" s="31"/>
      <c r="D58" s="31"/>
      <c r="E58" s="31"/>
      <c r="F58" s="31"/>
      <c r="G58" s="31"/>
      <c r="H58" s="31"/>
      <c r="I58" s="31"/>
      <c r="J58" s="31"/>
      <c r="K58"/>
      <c r="L58"/>
      <c r="M58"/>
      <c r="N58"/>
      <c r="O58"/>
      <c r="P58"/>
      <c r="Q58"/>
      <c r="R58"/>
      <c r="S58"/>
      <c r="T58"/>
      <c r="U58"/>
    </row>
    <row r="59" spans="2:21" ht="15" customHeight="1" x14ac:dyDescent="0.25">
      <c r="B59" s="31"/>
      <c r="C59" s="31"/>
      <c r="D59" s="31"/>
      <c r="E59" s="31"/>
      <c r="F59" s="31"/>
      <c r="G59" s="31"/>
      <c r="H59" s="31"/>
      <c r="I59" s="31"/>
      <c r="J59" s="31"/>
      <c r="K59"/>
      <c r="L59"/>
      <c r="M59"/>
      <c r="N59"/>
      <c r="O59"/>
      <c r="P59"/>
      <c r="Q59"/>
      <c r="R59"/>
      <c r="S59"/>
      <c r="T59"/>
      <c r="U59"/>
    </row>
    <row r="60" spans="2:21" ht="15" customHeight="1" x14ac:dyDescent="0.25">
      <c r="B60" s="31"/>
      <c r="C60" s="31"/>
      <c r="D60" s="31"/>
      <c r="E60" s="31"/>
      <c r="F60" s="31"/>
      <c r="G60" s="31"/>
      <c r="H60" s="31"/>
      <c r="I60" s="31"/>
      <c r="J60" s="31"/>
      <c r="K60"/>
      <c r="L60"/>
      <c r="M60"/>
      <c r="N60"/>
      <c r="O60"/>
      <c r="P60"/>
      <c r="Q60"/>
      <c r="R60"/>
      <c r="S60"/>
      <c r="T60"/>
      <c r="U60"/>
    </row>
    <row r="61" spans="2:21" ht="15" customHeight="1" x14ac:dyDescent="0.25">
      <c r="B61" s="31"/>
      <c r="C61" s="31"/>
      <c r="D61" s="31"/>
      <c r="E61" s="31"/>
      <c r="F61" s="31"/>
      <c r="G61" s="31"/>
      <c r="H61" s="31"/>
      <c r="I61" s="31"/>
      <c r="J61" s="31"/>
      <c r="K61"/>
      <c r="L61"/>
      <c r="M61"/>
      <c r="N61"/>
      <c r="O61"/>
      <c r="P61"/>
      <c r="Q61"/>
      <c r="R61"/>
      <c r="S61"/>
      <c r="T61"/>
      <c r="U61"/>
    </row>
    <row r="62" spans="2:21" ht="15" customHeight="1" x14ac:dyDescent="0.25">
      <c r="B62" s="31"/>
      <c r="C62" s="31"/>
      <c r="D62" s="31"/>
      <c r="E62" s="31"/>
      <c r="F62" s="31"/>
      <c r="G62" s="31"/>
      <c r="H62" s="31"/>
      <c r="I62" s="31"/>
      <c r="J62" s="31"/>
      <c r="K62"/>
      <c r="L62"/>
      <c r="M62"/>
      <c r="N62"/>
      <c r="O62"/>
      <c r="P62"/>
      <c r="Q62"/>
      <c r="R62"/>
      <c r="S62"/>
      <c r="T62"/>
      <c r="U62"/>
    </row>
    <row r="63" spans="2:21" ht="15" customHeight="1" x14ac:dyDescent="0.25">
      <c r="B63" s="31"/>
      <c r="C63" s="31"/>
      <c r="D63" s="31"/>
      <c r="E63" s="31"/>
      <c r="F63" s="31"/>
      <c r="G63" s="31"/>
      <c r="H63" s="31"/>
      <c r="I63" s="31"/>
      <c r="J63" s="31"/>
      <c r="K63"/>
      <c r="L63"/>
      <c r="M63"/>
      <c r="N63"/>
      <c r="O63"/>
      <c r="P63"/>
      <c r="Q63"/>
      <c r="R63"/>
      <c r="S63"/>
      <c r="T63"/>
      <c r="U63"/>
    </row>
    <row r="64" spans="2:21" ht="15" customHeight="1" x14ac:dyDescent="0.25">
      <c r="B64" s="31"/>
      <c r="C64" s="31"/>
      <c r="D64" s="31"/>
      <c r="E64" s="31"/>
      <c r="F64" s="31"/>
      <c r="G64" s="31"/>
      <c r="H64" s="31"/>
      <c r="I64" s="31"/>
      <c r="J64" s="31"/>
      <c r="K64"/>
      <c r="L64"/>
      <c r="M64"/>
      <c r="N64"/>
      <c r="O64"/>
      <c r="P64"/>
      <c r="Q64"/>
      <c r="R64"/>
      <c r="S64"/>
      <c r="T64"/>
      <c r="U64"/>
    </row>
    <row r="65" spans="2:21" ht="15" customHeight="1" x14ac:dyDescent="0.25">
      <c r="B65" s="31"/>
      <c r="C65" s="31"/>
      <c r="D65" s="31"/>
      <c r="E65" s="31"/>
      <c r="F65" s="31"/>
      <c r="G65" s="31"/>
      <c r="H65" s="31"/>
      <c r="I65" s="31"/>
      <c r="J65" s="31"/>
      <c r="K65"/>
      <c r="L65"/>
      <c r="M65"/>
      <c r="N65"/>
      <c r="O65"/>
      <c r="P65"/>
      <c r="Q65"/>
      <c r="R65"/>
      <c r="S65"/>
      <c r="T65"/>
      <c r="U65"/>
    </row>
    <row r="66" spans="2:21" ht="15" customHeight="1" x14ac:dyDescent="0.25">
      <c r="B66" s="31"/>
      <c r="C66" s="31"/>
      <c r="D66" s="31"/>
      <c r="E66" s="31"/>
      <c r="F66" s="31"/>
      <c r="G66" s="31"/>
      <c r="H66" s="31"/>
      <c r="I66" s="31"/>
      <c r="J66" s="31"/>
      <c r="K66"/>
      <c r="L66"/>
      <c r="M66"/>
      <c r="N66"/>
      <c r="O66"/>
      <c r="P66"/>
      <c r="Q66"/>
      <c r="R66"/>
      <c r="S66"/>
      <c r="T66"/>
      <c r="U66"/>
    </row>
    <row r="67" spans="2:21" ht="15" customHeight="1" x14ac:dyDescent="0.25">
      <c r="B67" s="31"/>
      <c r="C67" s="31"/>
      <c r="D67" s="31"/>
      <c r="E67" s="31"/>
      <c r="F67" s="31"/>
      <c r="G67" s="31"/>
      <c r="H67" s="31"/>
      <c r="I67" s="31"/>
      <c r="J67" s="31"/>
      <c r="K67"/>
      <c r="L67"/>
      <c r="M67"/>
      <c r="N67"/>
      <c r="O67"/>
      <c r="P67"/>
      <c r="Q67"/>
      <c r="R67"/>
      <c r="S67"/>
      <c r="T67"/>
      <c r="U67"/>
    </row>
    <row r="68" spans="2:21" ht="15" customHeight="1" x14ac:dyDescent="0.25">
      <c r="B68" s="31"/>
      <c r="C68" s="31"/>
      <c r="D68" s="31"/>
      <c r="E68" s="31"/>
      <c r="F68" s="31"/>
      <c r="G68" s="31"/>
      <c r="H68" s="31"/>
      <c r="I68" s="31"/>
      <c r="J68" s="31"/>
      <c r="K68"/>
      <c r="L68"/>
      <c r="M68"/>
      <c r="N68"/>
      <c r="O68"/>
      <c r="P68"/>
      <c r="Q68"/>
      <c r="R68"/>
      <c r="S68"/>
      <c r="T68"/>
      <c r="U68"/>
    </row>
    <row r="69" spans="2:21" ht="15" customHeight="1" x14ac:dyDescent="0.25">
      <c r="B69" s="31"/>
      <c r="C69" s="31"/>
      <c r="D69" s="31"/>
      <c r="E69" s="31"/>
      <c r="F69" s="31"/>
      <c r="G69" s="31"/>
      <c r="H69" s="31"/>
      <c r="I69" s="31"/>
      <c r="J69" s="31"/>
      <c r="K69"/>
      <c r="L69"/>
      <c r="M69"/>
      <c r="N69"/>
      <c r="O69"/>
      <c r="P69"/>
      <c r="Q69"/>
      <c r="R69"/>
      <c r="S69"/>
      <c r="T69"/>
      <c r="U69"/>
    </row>
    <row r="70" spans="2:21" ht="15" customHeight="1" x14ac:dyDescent="0.25">
      <c r="B70" s="31"/>
      <c r="C70" s="31"/>
      <c r="D70" s="31"/>
      <c r="E70" s="31"/>
      <c r="F70" s="31"/>
      <c r="G70" s="31"/>
      <c r="H70" s="31"/>
      <c r="I70" s="31"/>
      <c r="J70" s="31"/>
      <c r="K70"/>
      <c r="L70"/>
      <c r="M70"/>
      <c r="N70"/>
      <c r="O70"/>
      <c r="P70"/>
      <c r="Q70"/>
      <c r="R70"/>
      <c r="S70"/>
      <c r="T70"/>
      <c r="U70"/>
    </row>
    <row r="71" spans="2:21" ht="15" customHeight="1" x14ac:dyDescent="0.25">
      <c r="B71" s="31"/>
      <c r="C71" s="31"/>
      <c r="D71" s="31"/>
      <c r="E71" s="31"/>
      <c r="F71" s="31"/>
      <c r="G71" s="31"/>
      <c r="H71" s="31"/>
      <c r="I71" s="31"/>
      <c r="J71" s="31"/>
      <c r="K71"/>
      <c r="L71"/>
      <c r="M71"/>
      <c r="N71"/>
      <c r="O71"/>
      <c r="P71"/>
      <c r="Q71"/>
      <c r="R71"/>
      <c r="S71"/>
      <c r="T71"/>
      <c r="U71"/>
    </row>
    <row r="72" spans="2:21" ht="15" customHeight="1" x14ac:dyDescent="0.25">
      <c r="B72" s="31"/>
      <c r="C72" s="31"/>
      <c r="D72" s="31"/>
      <c r="E72" s="31"/>
      <c r="F72" s="31"/>
      <c r="G72" s="31"/>
      <c r="H72" s="31"/>
      <c r="I72" s="31"/>
      <c r="J72" s="31"/>
      <c r="K72"/>
      <c r="L72"/>
      <c r="M72"/>
      <c r="N72"/>
      <c r="O72"/>
      <c r="P72"/>
      <c r="Q72"/>
      <c r="R72"/>
      <c r="S72"/>
      <c r="T72"/>
      <c r="U72"/>
    </row>
    <row r="73" spans="2:21" ht="15" customHeight="1" x14ac:dyDescent="0.25">
      <c r="B73" s="31"/>
      <c r="C73" s="31"/>
      <c r="D73" s="31"/>
      <c r="E73" s="31"/>
      <c r="F73" s="31"/>
      <c r="G73" s="31"/>
      <c r="H73" s="31"/>
      <c r="I73" s="31"/>
      <c r="J73" s="31"/>
      <c r="K73"/>
      <c r="L73"/>
      <c r="M73"/>
      <c r="N73"/>
      <c r="O73"/>
      <c r="P73"/>
      <c r="Q73"/>
      <c r="R73"/>
      <c r="S73"/>
      <c r="T73"/>
      <c r="U73"/>
    </row>
    <row r="74" spans="2:21" ht="15" customHeight="1" x14ac:dyDescent="0.25">
      <c r="B74" s="31"/>
      <c r="C74" s="31"/>
      <c r="D74" s="31"/>
      <c r="E74" s="31"/>
      <c r="F74" s="31"/>
      <c r="G74" s="31"/>
      <c r="H74" s="31"/>
      <c r="I74" s="31"/>
      <c r="J74" s="31"/>
      <c r="K74"/>
      <c r="L74"/>
      <c r="M74"/>
      <c r="N74"/>
      <c r="O74"/>
      <c r="P74"/>
      <c r="Q74"/>
      <c r="R74"/>
      <c r="S74"/>
      <c r="T74"/>
      <c r="U74"/>
    </row>
    <row r="75" spans="2:21" ht="15" customHeight="1" x14ac:dyDescent="0.25">
      <c r="B75" s="31"/>
      <c r="C75" s="31"/>
      <c r="D75" s="31"/>
      <c r="E75" s="31"/>
      <c r="F75" s="31"/>
      <c r="G75" s="31"/>
      <c r="H75" s="31"/>
      <c r="I75" s="31"/>
      <c r="J75" s="31"/>
      <c r="K75"/>
      <c r="L75"/>
      <c r="M75"/>
      <c r="N75"/>
      <c r="O75"/>
      <c r="P75"/>
      <c r="Q75"/>
      <c r="R75"/>
      <c r="S75"/>
      <c r="T75"/>
      <c r="U75"/>
    </row>
    <row r="76" spans="2:21" ht="15" customHeight="1" x14ac:dyDescent="0.25">
      <c r="B76" s="31"/>
      <c r="C76" s="31"/>
      <c r="D76" s="31"/>
      <c r="E76" s="31"/>
      <c r="F76" s="31"/>
      <c r="G76" s="31"/>
      <c r="H76" s="31"/>
      <c r="I76" s="31"/>
      <c r="J76" s="31"/>
      <c r="K76"/>
      <c r="L76"/>
      <c r="M76"/>
      <c r="N76"/>
      <c r="O76"/>
      <c r="P76"/>
      <c r="Q76"/>
      <c r="R76"/>
      <c r="S76"/>
      <c r="T76"/>
      <c r="U76"/>
    </row>
    <row r="77" spans="2:21" ht="15" customHeight="1" x14ac:dyDescent="0.25">
      <c r="B77" s="31"/>
      <c r="C77" s="31"/>
      <c r="D77" s="31"/>
      <c r="E77" s="31"/>
      <c r="F77" s="31"/>
      <c r="G77" s="31"/>
      <c r="H77" s="31"/>
      <c r="I77" s="31"/>
      <c r="J77" s="31"/>
      <c r="K77"/>
      <c r="L77"/>
      <c r="M77"/>
      <c r="N77"/>
      <c r="O77"/>
      <c r="P77"/>
      <c r="Q77"/>
      <c r="R77"/>
      <c r="S77"/>
      <c r="T77"/>
      <c r="U77"/>
    </row>
    <row r="78" spans="2:21" ht="15" customHeight="1" x14ac:dyDescent="0.25">
      <c r="B78" s="31"/>
      <c r="C78" s="31"/>
      <c r="D78" s="31"/>
      <c r="E78" s="31"/>
      <c r="F78" s="31"/>
      <c r="G78" s="31"/>
      <c r="H78" s="31"/>
      <c r="I78" s="31"/>
      <c r="J78" s="31"/>
      <c r="K78"/>
      <c r="L78"/>
      <c r="M78"/>
      <c r="N78"/>
      <c r="O78"/>
      <c r="P78"/>
      <c r="Q78"/>
      <c r="R78"/>
      <c r="S78"/>
      <c r="T78"/>
      <c r="U78"/>
    </row>
    <row r="79" spans="2:21" ht="15" customHeight="1" x14ac:dyDescent="0.25">
      <c r="B79" s="31"/>
      <c r="C79" s="31"/>
      <c r="D79" s="31"/>
      <c r="E79" s="31"/>
      <c r="F79" s="31"/>
      <c r="G79" s="31"/>
      <c r="H79" s="31"/>
      <c r="I79" s="31"/>
      <c r="J79" s="31"/>
      <c r="K79"/>
      <c r="L79"/>
      <c r="M79"/>
      <c r="N79"/>
      <c r="O79"/>
      <c r="P79"/>
      <c r="Q79"/>
      <c r="R79"/>
      <c r="S79"/>
      <c r="T79"/>
      <c r="U79"/>
    </row>
    <row r="80" spans="2:21" ht="15" customHeight="1" x14ac:dyDescent="0.25">
      <c r="B80" s="31"/>
      <c r="C80" s="31"/>
      <c r="D80" s="31"/>
      <c r="E80" s="31"/>
      <c r="F80" s="31"/>
      <c r="G80" s="31"/>
      <c r="H80" s="31"/>
      <c r="I80" s="31"/>
      <c r="J80" s="31"/>
      <c r="K80"/>
      <c r="L80"/>
      <c r="M80"/>
      <c r="N80"/>
      <c r="O80"/>
      <c r="P80"/>
      <c r="Q80"/>
      <c r="R80"/>
      <c r="S80"/>
      <c r="T80"/>
      <c r="U80"/>
    </row>
    <row r="81" spans="2:21" ht="15" customHeight="1" x14ac:dyDescent="0.25">
      <c r="B81" s="31"/>
      <c r="C81" s="31"/>
      <c r="D81" s="31"/>
      <c r="E81" s="31"/>
      <c r="F81" s="31"/>
      <c r="G81" s="31"/>
      <c r="H81" s="31"/>
      <c r="I81" s="31"/>
      <c r="J81" s="31"/>
      <c r="K81"/>
      <c r="L81"/>
      <c r="M81"/>
      <c r="N81"/>
      <c r="O81"/>
      <c r="P81"/>
      <c r="Q81"/>
      <c r="R81"/>
      <c r="S81"/>
      <c r="T81"/>
      <c r="U81"/>
    </row>
    <row r="82" spans="2:21" ht="15" customHeight="1" x14ac:dyDescent="0.25">
      <c r="B82" s="31"/>
      <c r="C82" s="31"/>
      <c r="D82" s="31"/>
      <c r="E82" s="31"/>
      <c r="F82" s="31"/>
      <c r="G82" s="31"/>
      <c r="H82" s="31"/>
      <c r="I82" s="31"/>
      <c r="J82" s="31"/>
      <c r="K82"/>
      <c r="L82"/>
      <c r="M82"/>
      <c r="N82"/>
      <c r="O82"/>
      <c r="P82"/>
      <c r="Q82"/>
      <c r="R82"/>
      <c r="S82"/>
      <c r="T82"/>
      <c r="U82"/>
    </row>
    <row r="83" spans="2:21" ht="15" customHeight="1" x14ac:dyDescent="0.25">
      <c r="B83" s="31"/>
      <c r="C83" s="31"/>
      <c r="D83" s="31"/>
      <c r="E83" s="31"/>
      <c r="F83" s="31"/>
      <c r="G83" s="31"/>
      <c r="H83" s="31"/>
      <c r="I83" s="31"/>
      <c r="J83" s="31"/>
      <c r="K83"/>
      <c r="L83"/>
      <c r="M83"/>
      <c r="N83"/>
      <c r="O83"/>
      <c r="P83"/>
      <c r="Q83"/>
      <c r="R83"/>
      <c r="S83"/>
      <c r="T83"/>
      <c r="U83"/>
    </row>
    <row r="84" spans="2:21" ht="15" customHeight="1" x14ac:dyDescent="0.25">
      <c r="B84" s="31"/>
      <c r="C84" s="31"/>
      <c r="D84" s="31"/>
      <c r="E84" s="31"/>
      <c r="F84" s="31"/>
      <c r="G84" s="31"/>
      <c r="H84" s="31"/>
      <c r="I84" s="31"/>
      <c r="J84" s="31"/>
      <c r="K84"/>
      <c r="L84"/>
      <c r="M84"/>
      <c r="N84"/>
      <c r="O84"/>
      <c r="P84"/>
      <c r="Q84"/>
      <c r="R84"/>
      <c r="S84"/>
      <c r="T84"/>
      <c r="U84"/>
    </row>
    <row r="85" spans="2:21" ht="15" customHeight="1" x14ac:dyDescent="0.25">
      <c r="B85" s="31"/>
      <c r="C85" s="31"/>
      <c r="D85" s="31"/>
      <c r="E85" s="31"/>
      <c r="F85" s="31"/>
      <c r="G85" s="31"/>
      <c r="H85" s="31"/>
      <c r="I85" s="31"/>
      <c r="J85" s="31"/>
      <c r="K85"/>
      <c r="L85"/>
      <c r="M85"/>
      <c r="N85"/>
      <c r="O85"/>
      <c r="P85"/>
      <c r="Q85"/>
      <c r="R85"/>
      <c r="S85"/>
      <c r="T85"/>
      <c r="U85"/>
    </row>
    <row r="86" spans="2:21" ht="15" customHeight="1" x14ac:dyDescent="0.25">
      <c r="B86" s="31"/>
      <c r="C86" s="31"/>
      <c r="D86" s="31"/>
      <c r="E86" s="31"/>
      <c r="F86" s="31"/>
      <c r="G86" s="31"/>
      <c r="H86" s="31"/>
      <c r="I86" s="31"/>
      <c r="J86" s="31"/>
      <c r="K86"/>
      <c r="L86"/>
      <c r="M86"/>
      <c r="N86"/>
      <c r="O86"/>
      <c r="P86"/>
      <c r="Q86"/>
      <c r="R86"/>
      <c r="S86"/>
      <c r="T86"/>
      <c r="U86"/>
    </row>
    <row r="87" spans="2:21" ht="15" customHeight="1" x14ac:dyDescent="0.25">
      <c r="B87" s="31"/>
      <c r="C87" s="31"/>
      <c r="D87" s="31"/>
      <c r="E87" s="31"/>
      <c r="F87" s="31"/>
      <c r="G87" s="31"/>
      <c r="H87" s="31"/>
      <c r="I87" s="31"/>
      <c r="J87" s="31"/>
      <c r="K87"/>
      <c r="L87"/>
      <c r="M87"/>
      <c r="N87"/>
      <c r="O87"/>
      <c r="P87"/>
      <c r="Q87"/>
      <c r="R87"/>
      <c r="S87"/>
      <c r="T87"/>
      <c r="U87"/>
    </row>
    <row r="88" spans="2:21" ht="15" customHeight="1" x14ac:dyDescent="0.25">
      <c r="B88" s="31"/>
      <c r="C88" s="31"/>
      <c r="D88" s="31"/>
      <c r="E88" s="31"/>
      <c r="F88" s="31"/>
      <c r="G88" s="31"/>
      <c r="H88" s="31"/>
      <c r="I88" s="31"/>
      <c r="J88" s="31"/>
      <c r="K88"/>
      <c r="L88"/>
      <c r="M88"/>
      <c r="N88"/>
      <c r="O88"/>
      <c r="P88"/>
      <c r="Q88"/>
      <c r="R88"/>
      <c r="S88"/>
      <c r="T88"/>
      <c r="U88"/>
    </row>
    <row r="89" spans="2:21" ht="15" customHeight="1" x14ac:dyDescent="0.25">
      <c r="B89" s="31"/>
      <c r="C89" s="31"/>
      <c r="D89" s="31"/>
      <c r="E89" s="31"/>
      <c r="F89" s="31"/>
      <c r="G89" s="31"/>
      <c r="H89" s="31"/>
      <c r="I89" s="31"/>
      <c r="J89" s="31"/>
      <c r="K89"/>
      <c r="L89"/>
      <c r="M89"/>
      <c r="N89"/>
      <c r="O89"/>
      <c r="P89"/>
      <c r="Q89"/>
      <c r="R89"/>
      <c r="S89"/>
      <c r="T89"/>
      <c r="U89"/>
    </row>
    <row r="90" spans="2:21" ht="15" customHeight="1" x14ac:dyDescent="0.25">
      <c r="B90" s="31"/>
      <c r="C90" s="31"/>
      <c r="D90" s="31"/>
      <c r="E90" s="31"/>
      <c r="F90" s="31"/>
      <c r="G90" s="31"/>
      <c r="H90" s="31"/>
      <c r="I90" s="31"/>
      <c r="J90" s="31"/>
      <c r="K90"/>
      <c r="L90"/>
      <c r="M90"/>
      <c r="N90"/>
      <c r="O90"/>
      <c r="P90"/>
      <c r="Q90"/>
      <c r="R90"/>
      <c r="S90"/>
      <c r="T90"/>
      <c r="U90"/>
    </row>
    <row r="91" spans="2:21" ht="15" customHeight="1" x14ac:dyDescent="0.25">
      <c r="B91" s="31"/>
      <c r="C91" s="31"/>
      <c r="D91" s="31"/>
      <c r="E91" s="31"/>
      <c r="F91" s="31"/>
      <c r="G91" s="31"/>
      <c r="H91" s="31"/>
      <c r="I91" s="31"/>
      <c r="J91" s="31"/>
      <c r="K91"/>
      <c r="L91"/>
      <c r="M91"/>
      <c r="N91"/>
      <c r="O91"/>
      <c r="P91"/>
      <c r="Q91"/>
      <c r="R91"/>
      <c r="S91"/>
      <c r="T91"/>
      <c r="U91"/>
    </row>
    <row r="92" spans="2:21" ht="15" customHeight="1" x14ac:dyDescent="0.25">
      <c r="B92" s="31"/>
      <c r="C92" s="31"/>
      <c r="D92" s="31"/>
      <c r="E92" s="31"/>
      <c r="F92" s="31"/>
      <c r="G92" s="31"/>
      <c r="H92" s="31"/>
      <c r="I92" s="31"/>
      <c r="J92" s="31"/>
      <c r="K92"/>
      <c r="L92"/>
      <c r="M92"/>
      <c r="N92"/>
      <c r="O92"/>
      <c r="P92"/>
      <c r="Q92"/>
      <c r="R92"/>
      <c r="S92"/>
      <c r="T92"/>
      <c r="U92"/>
    </row>
    <row r="93" spans="2:21" ht="15" customHeight="1" x14ac:dyDescent="0.25">
      <c r="B93" s="31"/>
      <c r="C93" s="31"/>
      <c r="D93" s="31"/>
      <c r="E93" s="31"/>
      <c r="F93" s="31"/>
      <c r="G93" s="31"/>
      <c r="H93" s="31"/>
      <c r="I93" s="31"/>
      <c r="J93" s="31"/>
      <c r="K93"/>
      <c r="L93"/>
      <c r="M93"/>
      <c r="N93"/>
      <c r="O93"/>
      <c r="P93"/>
      <c r="Q93"/>
      <c r="R93"/>
      <c r="S93"/>
      <c r="T93"/>
      <c r="U93"/>
    </row>
    <row r="94" spans="2:21" ht="15" customHeight="1" x14ac:dyDescent="0.25">
      <c r="B94" s="31"/>
      <c r="C94" s="31"/>
      <c r="D94" s="31"/>
      <c r="E94" s="31"/>
      <c r="F94" s="31"/>
      <c r="G94" s="31"/>
      <c r="H94" s="31"/>
      <c r="I94" s="31"/>
      <c r="J94" s="31"/>
      <c r="K94"/>
      <c r="L94"/>
      <c r="M94"/>
      <c r="N94"/>
      <c r="O94"/>
      <c r="P94"/>
      <c r="Q94"/>
      <c r="R94"/>
      <c r="S94"/>
      <c r="T94"/>
      <c r="U94"/>
    </row>
    <row r="95" spans="2:21" ht="15" customHeight="1" x14ac:dyDescent="0.25">
      <c r="B95" s="31"/>
      <c r="C95" s="31"/>
      <c r="D95" s="31"/>
      <c r="E95" s="31"/>
      <c r="F95" s="31"/>
      <c r="G95" s="31"/>
      <c r="H95" s="31"/>
      <c r="I95" s="31"/>
      <c r="J95" s="31"/>
      <c r="K95"/>
      <c r="L95"/>
      <c r="M95"/>
      <c r="N95"/>
      <c r="O95"/>
      <c r="P95"/>
      <c r="Q95"/>
      <c r="R95"/>
      <c r="S95"/>
      <c r="T95"/>
      <c r="U95"/>
    </row>
    <row r="96" spans="2:21" ht="15" customHeight="1" x14ac:dyDescent="0.25">
      <c r="B96" s="31"/>
      <c r="C96" s="31"/>
      <c r="D96" s="31"/>
      <c r="E96" s="31"/>
      <c r="F96" s="31"/>
      <c r="G96" s="31"/>
      <c r="H96" s="31"/>
      <c r="I96" s="31"/>
      <c r="J96" s="31"/>
      <c r="K96"/>
      <c r="L96"/>
      <c r="M96"/>
      <c r="N96"/>
      <c r="O96"/>
      <c r="P96"/>
      <c r="Q96"/>
      <c r="R96"/>
      <c r="S96"/>
      <c r="T96"/>
      <c r="U96"/>
    </row>
    <row r="97" spans="2:21" ht="15" customHeight="1" x14ac:dyDescent="0.25">
      <c r="B97" s="31"/>
      <c r="C97" s="31"/>
      <c r="D97" s="31"/>
      <c r="E97" s="31"/>
      <c r="F97" s="31"/>
      <c r="G97" s="31"/>
      <c r="H97" s="31"/>
      <c r="I97" s="31"/>
      <c r="J97" s="31"/>
      <c r="K97"/>
      <c r="L97"/>
      <c r="M97"/>
      <c r="N97"/>
      <c r="O97"/>
      <c r="P97"/>
      <c r="Q97"/>
      <c r="R97"/>
      <c r="S97"/>
      <c r="T97"/>
      <c r="U97"/>
    </row>
    <row r="98" spans="2:21" ht="15" customHeight="1" x14ac:dyDescent="0.25">
      <c r="B98" s="31"/>
      <c r="C98" s="31"/>
      <c r="D98" s="31"/>
      <c r="E98" s="31"/>
      <c r="F98" s="31"/>
      <c r="G98" s="31"/>
      <c r="H98" s="31"/>
      <c r="I98" s="31"/>
      <c r="J98" s="31"/>
      <c r="K98"/>
      <c r="L98"/>
      <c r="M98"/>
      <c r="N98"/>
      <c r="O98"/>
      <c r="P98"/>
      <c r="Q98"/>
      <c r="R98"/>
      <c r="S98"/>
      <c r="T98"/>
      <c r="U98"/>
    </row>
    <row r="99" spans="2:21" ht="15" customHeight="1" x14ac:dyDescent="0.25">
      <c r="B99" s="31"/>
      <c r="C99" s="31"/>
      <c r="D99" s="31"/>
      <c r="E99" s="31"/>
      <c r="F99" s="31"/>
      <c r="G99" s="31"/>
      <c r="H99" s="31"/>
      <c r="I99" s="31"/>
      <c r="J99" s="31"/>
      <c r="K99"/>
      <c r="L99"/>
      <c r="M99"/>
      <c r="N99"/>
      <c r="O99"/>
      <c r="P99"/>
      <c r="Q99"/>
      <c r="R99"/>
      <c r="S99"/>
      <c r="T99"/>
      <c r="U99"/>
    </row>
    <row r="100" spans="2:21" ht="15" customHeight="1" x14ac:dyDescent="0.25">
      <c r="B100" s="31"/>
      <c r="C100" s="31"/>
      <c r="D100" s="31"/>
      <c r="E100" s="31"/>
      <c r="F100" s="31"/>
      <c r="G100" s="31"/>
      <c r="H100" s="31"/>
      <c r="I100" s="31"/>
      <c r="J100" s="31"/>
      <c r="K100"/>
      <c r="L100"/>
      <c r="M100"/>
      <c r="N100"/>
      <c r="O100"/>
      <c r="P100"/>
      <c r="Q100"/>
      <c r="R100"/>
      <c r="S100"/>
      <c r="T100"/>
      <c r="U100"/>
    </row>
    <row r="101" spans="2:21" ht="15" customHeight="1" x14ac:dyDescent="0.25">
      <c r="B101" s="31"/>
      <c r="C101" s="31"/>
      <c r="D101" s="31"/>
      <c r="E101" s="31"/>
      <c r="F101" s="31"/>
      <c r="G101" s="31"/>
      <c r="H101" s="31"/>
      <c r="I101" s="31"/>
      <c r="J101" s="31"/>
      <c r="K101"/>
      <c r="L101"/>
      <c r="M101"/>
      <c r="N101"/>
      <c r="O101"/>
      <c r="P101"/>
      <c r="Q101"/>
      <c r="R101"/>
      <c r="S101"/>
      <c r="T101"/>
      <c r="U101"/>
    </row>
  </sheetData>
  <mergeCells count="1">
    <mergeCell ref="H1:I1"/>
  </mergeCells>
  <conditionalFormatting sqref="B1">
    <cfRule type="cellIs" dxfId="83" priority="1" operator="equal">
      <formula>"Incomplete"</formula>
    </cfRule>
    <cfRule type="cellIs" dxfId="82" priority="2" operator="equal">
      <formula>"Flag for Review"</formula>
    </cfRule>
    <cfRule type="cellIs" dxfId="81" priority="3" operator="equal">
      <formula>"Finished"</formula>
    </cfRule>
  </conditionalFormatting>
  <dataValidations count="1">
    <dataValidation type="list" allowBlank="1" showInputMessage="1" showErrorMessage="1" sqref="B1">
      <formula1>"Finished, Flag for Review, Incomplete"</formula1>
    </dataValidation>
  </dataValidations>
  <hyperlinks>
    <hyperlink ref="H1" location="'Point Grid'!A8" display="Return to Point Grid"/>
    <hyperlink ref="H1:I1" location="'Point Grid'!A1" display="Return to Point Grid"/>
  </hyperlink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/>
  <dimension ref="A1:U101"/>
  <sheetViews>
    <sheetView zoomScaleNormal="100" workbookViewId="0"/>
  </sheetViews>
  <sheetFormatPr defaultColWidth="9.140625" defaultRowHeight="15" x14ac:dyDescent="0.25"/>
  <cols>
    <col min="1" max="1" width="9.140625" style="21"/>
    <col min="2" max="2" width="16" style="21" bestFit="1" customWidth="1"/>
    <col min="3" max="9" width="11.140625" style="21" customWidth="1"/>
    <col min="10" max="16384" width="9.140625" style="21"/>
  </cols>
  <sheetData>
    <row r="1" spans="1:21" x14ac:dyDescent="0.25">
      <c r="A1" s="7">
        <v>4</v>
      </c>
      <c r="B1" s="27" t="s">
        <v>12</v>
      </c>
      <c r="C1" s="20"/>
      <c r="D1" s="20"/>
      <c r="E1" s="20"/>
      <c r="F1" s="20"/>
      <c r="G1" s="20"/>
      <c r="H1" s="384" t="s">
        <v>24</v>
      </c>
      <c r="I1" s="385"/>
      <c r="K1"/>
      <c r="L1"/>
      <c r="M1"/>
      <c r="N1"/>
      <c r="O1"/>
      <c r="P1"/>
      <c r="Q1"/>
      <c r="R1"/>
      <c r="S1"/>
      <c r="T1"/>
      <c r="U1"/>
    </row>
    <row r="2" spans="1:21" x14ac:dyDescent="0.25">
      <c r="A2" s="22"/>
      <c r="B2" s="19"/>
      <c r="C2" s="19"/>
      <c r="D2" s="19"/>
      <c r="E2" s="19"/>
      <c r="F2" s="19"/>
      <c r="G2" s="19"/>
      <c r="H2" s="19"/>
      <c r="I2" s="23"/>
      <c r="K2"/>
      <c r="L2"/>
      <c r="M2"/>
      <c r="N2"/>
      <c r="O2"/>
      <c r="P2"/>
      <c r="Q2"/>
      <c r="R2"/>
      <c r="S2"/>
      <c r="T2"/>
      <c r="U2"/>
    </row>
    <row r="3" spans="1:21" x14ac:dyDescent="0.25">
      <c r="A3" s="8" t="s">
        <v>13</v>
      </c>
      <c r="B3" s="17"/>
      <c r="C3" s="17"/>
      <c r="D3" s="17"/>
      <c r="E3" s="17"/>
      <c r="F3" s="17"/>
      <c r="G3" s="17"/>
      <c r="H3" s="17"/>
      <c r="I3" s="18"/>
      <c r="J3" s="31"/>
      <c r="K3"/>
      <c r="L3"/>
      <c r="M3"/>
      <c r="N3"/>
      <c r="O3"/>
      <c r="P3"/>
      <c r="Q3"/>
      <c r="R3"/>
      <c r="S3"/>
      <c r="T3"/>
      <c r="U3"/>
    </row>
    <row r="4" spans="1:21" x14ac:dyDescent="0.25">
      <c r="A4" s="9">
        <f>INDEX('Point Grid'!B:B,MATCH(A1,'Point Grid'!A:A,0))</f>
        <v>1</v>
      </c>
      <c r="B4" s="17" t="s">
        <v>35</v>
      </c>
      <c r="C4" s="17"/>
      <c r="D4" s="17"/>
      <c r="E4" s="17"/>
      <c r="F4" s="17"/>
      <c r="G4" s="17"/>
      <c r="H4" s="17"/>
      <c r="I4" s="18"/>
      <c r="J4" s="31"/>
      <c r="K4"/>
      <c r="L4"/>
      <c r="M4"/>
      <c r="N4"/>
      <c r="O4"/>
      <c r="P4"/>
      <c r="Q4"/>
      <c r="R4"/>
      <c r="S4"/>
      <c r="T4"/>
      <c r="U4"/>
    </row>
    <row r="5" spans="1:21" x14ac:dyDescent="0.25">
      <c r="A5" s="16"/>
      <c r="B5" s="17"/>
      <c r="C5" s="17"/>
      <c r="D5" s="17"/>
      <c r="E5" s="17"/>
      <c r="F5" s="17"/>
      <c r="G5" s="17"/>
      <c r="H5" s="17"/>
      <c r="I5" s="18"/>
      <c r="J5" s="31"/>
      <c r="K5"/>
      <c r="L5"/>
      <c r="M5"/>
      <c r="N5"/>
      <c r="O5"/>
      <c r="P5"/>
      <c r="Q5"/>
      <c r="R5"/>
      <c r="S5"/>
      <c r="T5"/>
      <c r="U5"/>
    </row>
    <row r="6" spans="1:21" x14ac:dyDescent="0.25">
      <c r="A6" s="25" t="s">
        <v>2</v>
      </c>
      <c r="B6" s="17" t="s">
        <v>258</v>
      </c>
      <c r="C6" s="17"/>
      <c r="D6" s="17"/>
      <c r="E6" s="17"/>
      <c r="F6" s="17"/>
      <c r="G6" s="17"/>
      <c r="H6" s="17"/>
      <c r="I6" s="18"/>
      <c r="J6" s="31"/>
      <c r="K6"/>
      <c r="L6"/>
      <c r="M6"/>
      <c r="N6"/>
      <c r="O6"/>
      <c r="P6"/>
      <c r="Q6"/>
      <c r="R6"/>
      <c r="S6"/>
      <c r="T6"/>
      <c r="U6"/>
    </row>
    <row r="7" spans="1:21" ht="15.75" thickBot="1" x14ac:dyDescent="0.3">
      <c r="A7" s="9">
        <f>INDEX('Point Grid'!$C$8:$I$54,MATCH($A$1,'Point Grid'!$A$8:$A$54,0),MATCH(A6,'Point Grid'!$C$7:$I$7,0))</f>
        <v>1</v>
      </c>
      <c r="B7" s="17"/>
      <c r="C7" s="17"/>
      <c r="D7" s="17"/>
      <c r="E7" s="17"/>
      <c r="F7" s="17"/>
      <c r="G7" s="17"/>
      <c r="H7" s="17"/>
      <c r="I7" s="18"/>
      <c r="J7" s="31"/>
      <c r="K7"/>
      <c r="L7"/>
      <c r="M7"/>
      <c r="N7"/>
      <c r="O7"/>
      <c r="P7"/>
      <c r="Q7"/>
      <c r="R7"/>
      <c r="S7"/>
      <c r="T7"/>
      <c r="U7"/>
    </row>
    <row r="8" spans="1:21" ht="15.75" thickBot="1" x14ac:dyDescent="0.3">
      <c r="A8" s="5"/>
      <c r="B8" s="35"/>
      <c r="C8" s="28"/>
      <c r="D8" s="28"/>
      <c r="E8" s="28"/>
      <c r="F8" s="28"/>
      <c r="G8" s="28"/>
      <c r="H8" s="28"/>
      <c r="I8" s="18"/>
      <c r="J8" s="31"/>
      <c r="K8"/>
      <c r="L8"/>
      <c r="M8"/>
      <c r="N8"/>
      <c r="O8"/>
      <c r="P8"/>
      <c r="Q8"/>
      <c r="R8"/>
      <c r="S8"/>
      <c r="T8"/>
      <c r="U8"/>
    </row>
    <row r="9" spans="1:21" x14ac:dyDescent="0.25">
      <c r="A9" s="25"/>
      <c r="B9" s="35"/>
      <c r="C9" s="17"/>
      <c r="D9" s="17"/>
      <c r="E9" s="17"/>
      <c r="F9" s="17"/>
      <c r="G9" s="17"/>
      <c r="H9" s="17"/>
      <c r="I9" s="18"/>
      <c r="J9" s="31"/>
      <c r="K9"/>
      <c r="L9"/>
      <c r="M9"/>
      <c r="N9"/>
      <c r="O9"/>
      <c r="P9"/>
      <c r="Q9"/>
      <c r="R9"/>
      <c r="S9"/>
      <c r="T9"/>
      <c r="U9"/>
    </row>
    <row r="10" spans="1:21" x14ac:dyDescent="0.25">
      <c r="A10" s="25"/>
      <c r="B10" s="35"/>
      <c r="C10" s="17"/>
      <c r="D10" s="17"/>
      <c r="E10" s="17"/>
      <c r="F10" s="17"/>
      <c r="G10" s="17"/>
      <c r="H10" s="17"/>
      <c r="I10" s="18"/>
      <c r="J10" s="31"/>
      <c r="K10"/>
      <c r="L10"/>
      <c r="M10"/>
      <c r="N10"/>
      <c r="O10"/>
      <c r="P10"/>
      <c r="Q10"/>
      <c r="R10"/>
      <c r="S10"/>
      <c r="T10"/>
      <c r="U10"/>
    </row>
    <row r="11" spans="1:21" x14ac:dyDescent="0.25">
      <c r="A11" s="25"/>
      <c r="B11" s="34" t="s">
        <v>37</v>
      </c>
      <c r="C11" s="17" t="s">
        <v>259</v>
      </c>
      <c r="D11" s="17"/>
      <c r="E11" s="17"/>
      <c r="F11" s="17"/>
      <c r="G11" s="17"/>
      <c r="H11" s="17"/>
      <c r="I11" s="18"/>
      <c r="J11" s="31"/>
      <c r="K11"/>
      <c r="L11"/>
      <c r="M11"/>
      <c r="N11"/>
      <c r="O11"/>
      <c r="P11"/>
      <c r="Q11"/>
      <c r="R11"/>
      <c r="S11"/>
      <c r="T11"/>
      <c r="U11"/>
    </row>
    <row r="12" spans="1:21" x14ac:dyDescent="0.25">
      <c r="A12" s="25"/>
      <c r="B12" s="34"/>
      <c r="C12" s="17"/>
      <c r="D12" s="17"/>
      <c r="E12" s="17"/>
      <c r="F12" s="17"/>
      <c r="G12" s="17"/>
      <c r="H12" s="17"/>
      <c r="I12" s="18"/>
      <c r="J12" s="31"/>
      <c r="K12"/>
      <c r="L12"/>
      <c r="M12"/>
      <c r="N12"/>
      <c r="O12"/>
      <c r="P12"/>
      <c r="Q12"/>
      <c r="R12"/>
      <c r="S12"/>
      <c r="T12"/>
      <c r="U12"/>
    </row>
    <row r="13" spans="1:21" x14ac:dyDescent="0.25">
      <c r="A13" s="25"/>
      <c r="B13" s="34"/>
      <c r="C13" s="17"/>
      <c r="D13" s="17"/>
      <c r="E13" s="17"/>
      <c r="F13" s="17"/>
      <c r="G13" s="17"/>
      <c r="H13" s="17"/>
      <c r="I13" s="18"/>
      <c r="J13" s="31"/>
      <c r="K13"/>
      <c r="L13"/>
      <c r="M13"/>
      <c r="N13"/>
      <c r="O13"/>
      <c r="P13"/>
      <c r="Q13"/>
      <c r="R13"/>
      <c r="S13"/>
      <c r="T13"/>
      <c r="U13"/>
    </row>
    <row r="14" spans="1:21" x14ac:dyDescent="0.25">
      <c r="A14" s="25"/>
      <c r="B14" s="34" t="s">
        <v>36</v>
      </c>
      <c r="C14" s="17" t="s">
        <v>260</v>
      </c>
      <c r="D14" s="17"/>
      <c r="E14" s="17"/>
      <c r="F14" s="17"/>
      <c r="G14" s="17"/>
      <c r="H14" s="17"/>
      <c r="I14" s="18"/>
      <c r="J14" s="31"/>
      <c r="K14"/>
      <c r="L14"/>
      <c r="M14"/>
      <c r="N14"/>
      <c r="O14"/>
      <c r="P14"/>
      <c r="Q14"/>
      <c r="R14"/>
      <c r="S14"/>
      <c r="T14"/>
      <c r="U14"/>
    </row>
    <row r="15" spans="1:21" x14ac:dyDescent="0.25">
      <c r="A15" s="25"/>
      <c r="B15" s="34"/>
      <c r="C15" s="17"/>
      <c r="D15" s="17"/>
      <c r="E15" s="17"/>
      <c r="F15" s="17"/>
      <c r="G15" s="17"/>
      <c r="H15" s="17"/>
      <c r="I15" s="18"/>
      <c r="J15" s="31"/>
      <c r="K15"/>
      <c r="L15"/>
      <c r="M15"/>
      <c r="N15"/>
      <c r="O15"/>
      <c r="P15"/>
      <c r="Q15"/>
      <c r="R15"/>
      <c r="S15"/>
      <c r="T15"/>
      <c r="U15"/>
    </row>
    <row r="16" spans="1:21" x14ac:dyDescent="0.25">
      <c r="A16" s="25"/>
      <c r="B16" s="34"/>
      <c r="C16" s="17"/>
      <c r="D16" s="17"/>
      <c r="E16" s="17"/>
      <c r="F16" s="17"/>
      <c r="G16" s="17"/>
      <c r="H16" s="17"/>
      <c r="I16" s="18"/>
      <c r="J16" s="31"/>
      <c r="K16"/>
      <c r="L16"/>
      <c r="M16"/>
      <c r="N16"/>
      <c r="O16"/>
      <c r="P16"/>
      <c r="Q16"/>
      <c r="R16"/>
      <c r="S16"/>
      <c r="T16"/>
      <c r="U16"/>
    </row>
    <row r="17" spans="1:21" x14ac:dyDescent="0.25">
      <c r="A17" s="25"/>
      <c r="B17" s="34" t="s">
        <v>38</v>
      </c>
      <c r="C17" s="17" t="s">
        <v>261</v>
      </c>
      <c r="D17" s="17"/>
      <c r="E17" s="17"/>
      <c r="F17" s="17"/>
      <c r="G17" s="17"/>
      <c r="H17" s="17"/>
      <c r="I17" s="18"/>
      <c r="J17" s="31"/>
      <c r="K17"/>
      <c r="L17"/>
      <c r="M17"/>
      <c r="N17"/>
      <c r="O17"/>
      <c r="P17"/>
      <c r="Q17"/>
      <c r="R17"/>
      <c r="S17"/>
      <c r="T17"/>
      <c r="U17"/>
    </row>
    <row r="18" spans="1:21" ht="15" customHeight="1" x14ac:dyDescent="0.25">
      <c r="A18" s="25"/>
      <c r="B18" s="34"/>
      <c r="C18" s="17"/>
      <c r="D18" s="17"/>
      <c r="E18" s="17"/>
      <c r="F18" s="17"/>
      <c r="G18" s="17"/>
      <c r="H18" s="17"/>
      <c r="I18" s="18"/>
      <c r="J18" s="31"/>
      <c r="K18"/>
      <c r="L18"/>
      <c r="M18"/>
      <c r="N18"/>
      <c r="O18"/>
      <c r="P18"/>
      <c r="Q18"/>
      <c r="R18"/>
      <c r="S18"/>
      <c r="T18"/>
      <c r="U18"/>
    </row>
    <row r="19" spans="1:21" ht="15" customHeight="1" x14ac:dyDescent="0.25">
      <c r="A19" s="25"/>
      <c r="B19" s="34"/>
      <c r="C19" s="17"/>
      <c r="D19" s="17"/>
      <c r="E19" s="17"/>
      <c r="F19" s="17"/>
      <c r="G19" s="17"/>
      <c r="H19" s="17"/>
      <c r="I19" s="18"/>
      <c r="J19" s="31"/>
      <c r="K19"/>
      <c r="L19"/>
      <c r="M19"/>
      <c r="N19"/>
      <c r="O19"/>
      <c r="P19"/>
      <c r="Q19"/>
      <c r="R19"/>
      <c r="S19"/>
      <c r="T19"/>
      <c r="U19"/>
    </row>
    <row r="20" spans="1:21" ht="15" customHeight="1" x14ac:dyDescent="0.25">
      <c r="A20" s="25"/>
      <c r="B20" s="34" t="s">
        <v>39</v>
      </c>
      <c r="C20" s="17" t="s">
        <v>262</v>
      </c>
      <c r="D20" s="17"/>
      <c r="E20" s="17"/>
      <c r="F20" s="17"/>
      <c r="G20" s="17"/>
      <c r="H20" s="17"/>
      <c r="I20" s="18"/>
      <c r="J20" s="31"/>
      <c r="K20"/>
      <c r="L20"/>
      <c r="M20"/>
      <c r="N20"/>
      <c r="O20"/>
      <c r="P20"/>
      <c r="Q20"/>
      <c r="R20"/>
      <c r="S20"/>
      <c r="T20"/>
      <c r="U20"/>
    </row>
    <row r="21" spans="1:21" ht="15" customHeight="1" x14ac:dyDescent="0.25">
      <c r="A21" s="25"/>
      <c r="B21" s="34"/>
      <c r="C21" s="17"/>
      <c r="D21" s="17"/>
      <c r="E21" s="17"/>
      <c r="F21" s="17"/>
      <c r="G21" s="17"/>
      <c r="H21" s="17"/>
      <c r="I21" s="18"/>
      <c r="J21" s="31"/>
      <c r="K21"/>
      <c r="L21"/>
      <c r="M21"/>
      <c r="N21"/>
      <c r="O21"/>
      <c r="P21"/>
      <c r="Q21"/>
      <c r="R21"/>
      <c r="S21"/>
      <c r="T21"/>
      <c r="U21"/>
    </row>
    <row r="22" spans="1:21" ht="15" customHeight="1" x14ac:dyDescent="0.25">
      <c r="A22" s="25"/>
      <c r="B22" s="34"/>
      <c r="C22" s="17"/>
      <c r="D22" s="17"/>
      <c r="E22" s="17"/>
      <c r="F22" s="17"/>
      <c r="G22" s="17"/>
      <c r="H22" s="17"/>
      <c r="I22" s="18"/>
      <c r="J22" s="31"/>
      <c r="K22"/>
      <c r="L22"/>
      <c r="M22"/>
      <c r="N22"/>
      <c r="O22"/>
      <c r="P22"/>
      <c r="Q22"/>
      <c r="R22"/>
      <c r="S22"/>
      <c r="T22"/>
      <c r="U22"/>
    </row>
    <row r="23" spans="1:21" ht="15" customHeight="1" x14ac:dyDescent="0.25">
      <c r="A23" s="25"/>
      <c r="B23" s="34"/>
      <c r="C23" s="17"/>
      <c r="D23" s="17"/>
      <c r="E23" s="17"/>
      <c r="F23" s="17"/>
      <c r="G23" s="17"/>
      <c r="H23" s="17"/>
      <c r="I23" s="18"/>
      <c r="J23" s="31"/>
      <c r="K23"/>
      <c r="L23"/>
      <c r="M23"/>
      <c r="N23"/>
      <c r="O23"/>
      <c r="P23"/>
      <c r="Q23"/>
      <c r="R23"/>
      <c r="S23"/>
      <c r="T23"/>
      <c r="U23"/>
    </row>
    <row r="24" spans="1:21" ht="15" customHeight="1" x14ac:dyDescent="0.25">
      <c r="A24" s="25"/>
      <c r="B24" s="34"/>
      <c r="C24" s="17"/>
      <c r="D24" s="17"/>
      <c r="E24" s="17"/>
      <c r="F24" s="17"/>
      <c r="G24" s="17"/>
      <c r="H24" s="17"/>
      <c r="I24" s="18"/>
      <c r="J24" s="31"/>
      <c r="K24"/>
      <c r="L24"/>
      <c r="M24"/>
      <c r="N24"/>
      <c r="O24"/>
      <c r="P24"/>
      <c r="Q24"/>
      <c r="R24"/>
      <c r="S24"/>
      <c r="T24"/>
      <c r="U24"/>
    </row>
    <row r="25" spans="1:21" ht="15" customHeight="1" x14ac:dyDescent="0.25">
      <c r="A25" s="25"/>
      <c r="B25" s="34"/>
      <c r="C25" s="17"/>
      <c r="D25" s="17"/>
      <c r="E25" s="17"/>
      <c r="F25" s="17"/>
      <c r="G25" s="17"/>
      <c r="H25" s="17"/>
      <c r="I25" s="18"/>
      <c r="J25" s="31"/>
      <c r="K25"/>
      <c r="L25"/>
      <c r="M25"/>
      <c r="N25"/>
      <c r="O25"/>
      <c r="P25"/>
      <c r="Q25"/>
      <c r="R25"/>
      <c r="S25"/>
      <c r="T25"/>
      <c r="U25"/>
    </row>
    <row r="26" spans="1:21" ht="15" customHeight="1" x14ac:dyDescent="0.25">
      <c r="A26" s="25"/>
      <c r="B26" s="34"/>
      <c r="C26" s="17"/>
      <c r="D26" s="17"/>
      <c r="E26" s="17"/>
      <c r="F26" s="17"/>
      <c r="G26" s="17"/>
      <c r="H26" s="17"/>
      <c r="I26" s="18"/>
      <c r="J26" s="31"/>
      <c r="K26"/>
      <c r="L26"/>
      <c r="M26"/>
      <c r="N26"/>
      <c r="O26"/>
      <c r="P26"/>
      <c r="Q26"/>
      <c r="R26"/>
      <c r="S26"/>
      <c r="T26"/>
      <c r="U26"/>
    </row>
    <row r="27" spans="1:21" ht="15" customHeight="1" x14ac:dyDescent="0.25">
      <c r="A27" s="25"/>
      <c r="B27" s="17"/>
      <c r="C27" s="17"/>
      <c r="D27" s="17"/>
      <c r="E27" s="17"/>
      <c r="F27" s="17"/>
      <c r="G27" s="17"/>
      <c r="H27" s="17"/>
      <c r="I27" s="18"/>
      <c r="J27" s="31"/>
      <c r="K27"/>
      <c r="L27"/>
      <c r="M27"/>
      <c r="N27"/>
      <c r="O27"/>
      <c r="P27"/>
      <c r="Q27"/>
      <c r="R27"/>
      <c r="S27"/>
      <c r="T27"/>
      <c r="U27"/>
    </row>
    <row r="28" spans="1:21" ht="15" customHeight="1" x14ac:dyDescent="0.25">
      <c r="A28" s="25"/>
      <c r="B28" s="17"/>
      <c r="C28" s="17"/>
      <c r="D28" s="17"/>
      <c r="E28" s="17"/>
      <c r="F28" s="17"/>
      <c r="G28" s="17"/>
      <c r="H28" s="17"/>
      <c r="I28" s="18"/>
      <c r="J28" s="31"/>
      <c r="K28"/>
      <c r="L28"/>
      <c r="M28"/>
      <c r="N28"/>
      <c r="O28"/>
      <c r="P28"/>
      <c r="Q28"/>
      <c r="R28"/>
      <c r="S28"/>
      <c r="T28"/>
      <c r="U28"/>
    </row>
    <row r="29" spans="1:21" ht="15" customHeight="1" x14ac:dyDescent="0.25">
      <c r="A29" s="22"/>
      <c r="B29" s="17"/>
      <c r="C29" s="17"/>
      <c r="D29" s="17"/>
      <c r="E29" s="17"/>
      <c r="F29" s="17"/>
      <c r="G29" s="17"/>
      <c r="H29" s="17"/>
      <c r="I29" s="18"/>
      <c r="J29" s="31"/>
      <c r="K29"/>
      <c r="L29"/>
      <c r="M29"/>
      <c r="N29"/>
      <c r="O29"/>
      <c r="P29"/>
      <c r="Q29"/>
      <c r="R29"/>
      <c r="S29"/>
      <c r="T29"/>
      <c r="U29"/>
    </row>
    <row r="30" spans="1:21" ht="15" customHeight="1" thickBot="1" x14ac:dyDescent="0.3">
      <c r="A30" s="24"/>
      <c r="B30" s="32"/>
      <c r="C30" s="32"/>
      <c r="D30" s="32"/>
      <c r="E30" s="32"/>
      <c r="F30" s="32"/>
      <c r="G30" s="32"/>
      <c r="H30" s="32"/>
      <c r="I30" s="33"/>
      <c r="J30" s="31"/>
      <c r="K30"/>
      <c r="L30"/>
      <c r="M30"/>
      <c r="N30"/>
      <c r="O30"/>
      <c r="P30"/>
      <c r="Q30"/>
      <c r="R30"/>
      <c r="S30"/>
      <c r="T30"/>
      <c r="U30"/>
    </row>
    <row r="31" spans="1:21" ht="15" customHeight="1" x14ac:dyDescent="0.25">
      <c r="B31" s="31"/>
      <c r="C31" s="31"/>
      <c r="D31" s="31"/>
      <c r="E31" s="31"/>
      <c r="F31" s="31"/>
      <c r="G31" s="31"/>
      <c r="H31" s="31"/>
      <c r="I31" s="31"/>
      <c r="J31" s="31"/>
      <c r="K31"/>
      <c r="L31"/>
      <c r="M31"/>
      <c r="N31"/>
      <c r="O31"/>
      <c r="P31"/>
      <c r="Q31"/>
      <c r="R31"/>
      <c r="S31"/>
      <c r="T31"/>
      <c r="U31"/>
    </row>
    <row r="32" spans="1:21" ht="15" customHeight="1" x14ac:dyDescent="0.25">
      <c r="J32" s="31"/>
      <c r="K32"/>
      <c r="L32"/>
      <c r="M32"/>
      <c r="N32"/>
      <c r="O32"/>
      <c r="P32"/>
      <c r="Q32"/>
      <c r="R32"/>
      <c r="S32"/>
      <c r="T32"/>
      <c r="U32"/>
    </row>
    <row r="33" spans="2:21" ht="15" customHeight="1" x14ac:dyDescent="0.25">
      <c r="J33" s="31"/>
      <c r="K33"/>
      <c r="L33"/>
      <c r="M33"/>
      <c r="N33"/>
      <c r="O33"/>
      <c r="P33"/>
      <c r="Q33"/>
      <c r="R33"/>
      <c r="S33"/>
      <c r="T33"/>
      <c r="U33"/>
    </row>
    <row r="34" spans="2:21" ht="15" customHeight="1" x14ac:dyDescent="0.25">
      <c r="J34" s="31"/>
      <c r="K34"/>
      <c r="L34"/>
      <c r="M34"/>
      <c r="N34"/>
      <c r="O34"/>
      <c r="P34"/>
      <c r="Q34"/>
      <c r="R34"/>
      <c r="S34"/>
      <c r="T34"/>
      <c r="U34"/>
    </row>
    <row r="35" spans="2:21" ht="15" customHeight="1" x14ac:dyDescent="0.25">
      <c r="J35" s="31"/>
      <c r="K35"/>
      <c r="L35"/>
      <c r="M35"/>
      <c r="N35"/>
      <c r="O35"/>
      <c r="P35"/>
      <c r="Q35"/>
      <c r="R35"/>
      <c r="S35"/>
      <c r="T35"/>
      <c r="U35"/>
    </row>
    <row r="36" spans="2:21" ht="15" customHeight="1" x14ac:dyDescent="0.25">
      <c r="J36" s="31"/>
      <c r="K36"/>
      <c r="L36"/>
      <c r="M36"/>
      <c r="N36"/>
      <c r="O36"/>
      <c r="P36"/>
      <c r="Q36"/>
      <c r="R36"/>
      <c r="S36"/>
      <c r="T36"/>
      <c r="U36"/>
    </row>
    <row r="37" spans="2:21" ht="15" customHeight="1" x14ac:dyDescent="0.25">
      <c r="J37" s="31"/>
      <c r="K37"/>
      <c r="L37"/>
      <c r="M37"/>
      <c r="N37"/>
      <c r="O37"/>
      <c r="P37"/>
      <c r="Q37"/>
      <c r="R37"/>
      <c r="S37"/>
      <c r="T37"/>
      <c r="U37"/>
    </row>
    <row r="38" spans="2:21" ht="15" customHeight="1" x14ac:dyDescent="0.25">
      <c r="J38" s="31"/>
      <c r="K38"/>
      <c r="L38"/>
      <c r="M38"/>
      <c r="N38"/>
      <c r="O38"/>
      <c r="P38"/>
      <c r="Q38"/>
      <c r="R38"/>
      <c r="S38"/>
      <c r="T38"/>
      <c r="U38"/>
    </row>
    <row r="39" spans="2:21" ht="15" customHeight="1" x14ac:dyDescent="0.25">
      <c r="J39" s="31"/>
      <c r="K39"/>
      <c r="L39"/>
      <c r="M39"/>
      <c r="N39"/>
      <c r="O39"/>
      <c r="P39"/>
      <c r="Q39"/>
      <c r="R39"/>
      <c r="S39"/>
      <c r="T39"/>
      <c r="U39"/>
    </row>
    <row r="40" spans="2:21" ht="15" customHeight="1" x14ac:dyDescent="0.25">
      <c r="J40" s="31"/>
      <c r="K40"/>
      <c r="L40"/>
      <c r="M40"/>
      <c r="N40"/>
      <c r="O40"/>
      <c r="P40"/>
      <c r="Q40"/>
      <c r="R40"/>
      <c r="S40"/>
      <c r="T40"/>
      <c r="U40"/>
    </row>
    <row r="41" spans="2:21" ht="15" customHeight="1" x14ac:dyDescent="0.25">
      <c r="J41" s="31"/>
      <c r="K41"/>
      <c r="L41"/>
      <c r="M41"/>
      <c r="N41"/>
      <c r="O41"/>
      <c r="P41"/>
      <c r="Q41"/>
      <c r="R41"/>
      <c r="S41"/>
      <c r="T41"/>
      <c r="U41"/>
    </row>
    <row r="42" spans="2:21" ht="15" customHeight="1" x14ac:dyDescent="0.25">
      <c r="J42" s="31"/>
      <c r="K42"/>
      <c r="L42"/>
      <c r="M42"/>
      <c r="N42"/>
      <c r="O42"/>
      <c r="P42"/>
      <c r="Q42"/>
      <c r="R42"/>
      <c r="S42"/>
      <c r="T42"/>
      <c r="U42"/>
    </row>
    <row r="43" spans="2:21" ht="15" customHeight="1" x14ac:dyDescent="0.25">
      <c r="J43" s="31"/>
      <c r="K43"/>
      <c r="L43"/>
      <c r="M43"/>
      <c r="N43"/>
      <c r="O43"/>
      <c r="P43"/>
      <c r="Q43"/>
      <c r="R43"/>
      <c r="S43"/>
      <c r="T43"/>
      <c r="U43"/>
    </row>
    <row r="44" spans="2:21" ht="15" customHeight="1" x14ac:dyDescent="0.25">
      <c r="J44" s="31"/>
      <c r="K44"/>
      <c r="L44"/>
      <c r="M44"/>
      <c r="N44"/>
      <c r="O44"/>
      <c r="P44"/>
      <c r="Q44"/>
      <c r="R44"/>
      <c r="S44"/>
      <c r="T44"/>
      <c r="U44"/>
    </row>
    <row r="45" spans="2:21" ht="15" customHeight="1" x14ac:dyDescent="0.25">
      <c r="J45" s="31"/>
      <c r="K45"/>
      <c r="L45"/>
      <c r="M45"/>
      <c r="N45"/>
      <c r="O45"/>
      <c r="P45"/>
      <c r="Q45"/>
      <c r="R45"/>
      <c r="S45"/>
      <c r="T45"/>
      <c r="U45"/>
    </row>
    <row r="46" spans="2:21" ht="15" customHeight="1" x14ac:dyDescent="0.25">
      <c r="B46" s="31"/>
      <c r="C46" s="31"/>
      <c r="D46" s="31"/>
      <c r="E46" s="31"/>
      <c r="F46" s="31"/>
      <c r="G46" s="31"/>
      <c r="H46" s="31"/>
      <c r="I46" s="31"/>
      <c r="J46" s="31"/>
      <c r="K46"/>
      <c r="L46"/>
      <c r="M46"/>
      <c r="N46"/>
      <c r="O46"/>
      <c r="P46"/>
      <c r="Q46"/>
      <c r="R46"/>
      <c r="S46"/>
      <c r="T46"/>
      <c r="U46"/>
    </row>
    <row r="47" spans="2:21" ht="15" customHeight="1" x14ac:dyDescent="0.25">
      <c r="B47" s="31"/>
      <c r="C47" s="31"/>
      <c r="D47" s="31"/>
      <c r="E47" s="31"/>
      <c r="F47" s="31"/>
      <c r="G47" s="31"/>
      <c r="H47" s="31"/>
      <c r="I47" s="31"/>
      <c r="J47" s="31"/>
      <c r="K47"/>
      <c r="L47"/>
      <c r="M47"/>
      <c r="N47"/>
      <c r="O47"/>
      <c r="P47"/>
      <c r="Q47"/>
      <c r="R47"/>
      <c r="S47"/>
      <c r="T47"/>
      <c r="U47"/>
    </row>
    <row r="48" spans="2:21" ht="15" customHeight="1" x14ac:dyDescent="0.25">
      <c r="B48" s="31"/>
      <c r="C48" s="31"/>
      <c r="D48" s="31"/>
      <c r="E48" s="31"/>
      <c r="F48" s="31"/>
      <c r="G48" s="31"/>
      <c r="H48" s="31"/>
      <c r="I48" s="31"/>
      <c r="J48" s="31"/>
      <c r="K48"/>
      <c r="L48"/>
      <c r="M48"/>
      <c r="N48"/>
      <c r="O48"/>
      <c r="P48"/>
      <c r="Q48"/>
      <c r="R48"/>
      <c r="S48"/>
      <c r="T48"/>
      <c r="U48"/>
    </row>
    <row r="49" spans="2:21" ht="15" customHeight="1" x14ac:dyDescent="0.25">
      <c r="B49" s="31"/>
      <c r="C49" s="31"/>
      <c r="D49" s="31"/>
      <c r="E49" s="31"/>
      <c r="F49" s="31"/>
      <c r="G49" s="31"/>
      <c r="H49" s="31"/>
      <c r="I49" s="31"/>
      <c r="J49" s="31"/>
      <c r="K49"/>
      <c r="L49"/>
      <c r="M49"/>
      <c r="N49"/>
      <c r="O49"/>
      <c r="P49"/>
      <c r="Q49"/>
      <c r="R49"/>
      <c r="S49"/>
      <c r="T49"/>
      <c r="U49"/>
    </row>
    <row r="50" spans="2:21" ht="15" customHeight="1" x14ac:dyDescent="0.25">
      <c r="B50" s="31"/>
      <c r="C50" s="31"/>
      <c r="D50" s="31"/>
      <c r="E50" s="31"/>
      <c r="F50" s="31"/>
      <c r="G50" s="31"/>
      <c r="H50" s="31"/>
      <c r="I50" s="31"/>
      <c r="J50" s="31"/>
      <c r="K50"/>
      <c r="L50"/>
      <c r="M50"/>
      <c r="N50"/>
      <c r="O50"/>
      <c r="P50"/>
      <c r="Q50"/>
      <c r="R50"/>
      <c r="S50"/>
      <c r="T50"/>
      <c r="U50"/>
    </row>
    <row r="51" spans="2:21" ht="15" customHeight="1" x14ac:dyDescent="0.25">
      <c r="B51" s="31"/>
      <c r="C51" s="31"/>
      <c r="D51" s="31"/>
      <c r="E51" s="31"/>
      <c r="F51" s="31"/>
      <c r="G51" s="31"/>
      <c r="H51" s="31"/>
      <c r="I51" s="31"/>
      <c r="J51" s="31"/>
      <c r="K51"/>
      <c r="L51"/>
      <c r="M51"/>
      <c r="N51"/>
      <c r="O51"/>
      <c r="P51"/>
      <c r="Q51"/>
      <c r="R51"/>
      <c r="S51"/>
      <c r="T51"/>
      <c r="U51"/>
    </row>
    <row r="52" spans="2:21" ht="15" customHeight="1" x14ac:dyDescent="0.25">
      <c r="B52" s="31"/>
      <c r="C52" s="31"/>
      <c r="D52" s="31"/>
      <c r="E52" s="31"/>
      <c r="F52" s="31"/>
      <c r="G52" s="31"/>
      <c r="H52" s="31"/>
      <c r="I52" s="31"/>
      <c r="J52" s="31"/>
      <c r="K52"/>
      <c r="L52"/>
      <c r="M52"/>
      <c r="N52"/>
      <c r="O52"/>
      <c r="P52"/>
      <c r="Q52"/>
      <c r="R52"/>
      <c r="S52"/>
      <c r="T52"/>
      <c r="U52"/>
    </row>
    <row r="53" spans="2:21" ht="15" customHeight="1" x14ac:dyDescent="0.25">
      <c r="B53" s="31"/>
      <c r="C53" s="31"/>
      <c r="D53" s="31"/>
      <c r="E53" s="31"/>
      <c r="F53" s="31"/>
      <c r="G53" s="31"/>
      <c r="H53" s="31"/>
      <c r="I53" s="31"/>
      <c r="J53" s="31"/>
      <c r="K53"/>
      <c r="L53"/>
      <c r="M53"/>
      <c r="N53"/>
      <c r="O53"/>
      <c r="P53"/>
      <c r="Q53"/>
      <c r="R53"/>
      <c r="S53"/>
      <c r="T53"/>
      <c r="U53"/>
    </row>
    <row r="54" spans="2:21" ht="15" customHeight="1" x14ac:dyDescent="0.25">
      <c r="B54" s="31"/>
      <c r="C54" s="31"/>
      <c r="D54" s="31"/>
      <c r="E54" s="31"/>
      <c r="F54" s="31"/>
      <c r="G54" s="31"/>
      <c r="H54" s="31"/>
      <c r="I54" s="31"/>
      <c r="J54" s="31"/>
      <c r="K54"/>
      <c r="L54"/>
      <c r="M54"/>
      <c r="N54"/>
      <c r="O54"/>
      <c r="P54"/>
      <c r="Q54"/>
      <c r="R54"/>
      <c r="S54"/>
      <c r="T54"/>
      <c r="U54"/>
    </row>
    <row r="55" spans="2:21" ht="15" customHeight="1" x14ac:dyDescent="0.25">
      <c r="B55" s="31"/>
      <c r="C55" s="31"/>
      <c r="D55" s="31"/>
      <c r="E55" s="31"/>
      <c r="F55" s="31"/>
      <c r="G55" s="31"/>
      <c r="H55" s="31"/>
      <c r="I55" s="31"/>
      <c r="J55" s="31"/>
      <c r="K55"/>
      <c r="L55"/>
      <c r="M55"/>
      <c r="N55"/>
      <c r="O55"/>
      <c r="P55"/>
      <c r="Q55"/>
      <c r="R55"/>
      <c r="S55"/>
      <c r="T55"/>
      <c r="U55"/>
    </row>
    <row r="56" spans="2:21" ht="15" customHeight="1" x14ac:dyDescent="0.25">
      <c r="B56" s="31"/>
      <c r="C56" s="31"/>
      <c r="D56" s="31"/>
      <c r="E56" s="31"/>
      <c r="F56" s="31"/>
      <c r="G56" s="31"/>
      <c r="H56" s="31"/>
      <c r="I56" s="31"/>
      <c r="J56" s="31"/>
      <c r="K56"/>
      <c r="L56"/>
      <c r="M56"/>
      <c r="N56"/>
      <c r="O56"/>
      <c r="P56"/>
      <c r="Q56"/>
      <c r="R56"/>
      <c r="S56"/>
      <c r="T56"/>
      <c r="U56"/>
    </row>
    <row r="57" spans="2:21" ht="15" customHeight="1" x14ac:dyDescent="0.25">
      <c r="B57" s="31"/>
      <c r="C57" s="31"/>
      <c r="D57" s="31"/>
      <c r="E57" s="31"/>
      <c r="F57" s="31"/>
      <c r="G57" s="31"/>
      <c r="H57" s="31"/>
      <c r="I57" s="31"/>
      <c r="J57" s="31"/>
      <c r="K57"/>
      <c r="L57"/>
      <c r="M57"/>
      <c r="N57"/>
      <c r="O57"/>
      <c r="P57"/>
      <c r="Q57"/>
      <c r="R57"/>
      <c r="S57"/>
      <c r="T57"/>
      <c r="U57"/>
    </row>
    <row r="58" spans="2:21" ht="15" customHeight="1" x14ac:dyDescent="0.25">
      <c r="B58" s="31"/>
      <c r="C58" s="31"/>
      <c r="D58" s="31"/>
      <c r="E58" s="31"/>
      <c r="F58" s="31"/>
      <c r="G58" s="31"/>
      <c r="H58" s="31"/>
      <c r="I58" s="31"/>
      <c r="J58" s="31"/>
      <c r="K58"/>
      <c r="L58"/>
      <c r="M58"/>
      <c r="N58"/>
      <c r="O58"/>
      <c r="P58"/>
      <c r="Q58"/>
      <c r="R58"/>
      <c r="S58"/>
      <c r="T58"/>
      <c r="U58"/>
    </row>
    <row r="59" spans="2:21" ht="15" customHeight="1" x14ac:dyDescent="0.25">
      <c r="B59" s="31"/>
      <c r="C59" s="31"/>
      <c r="D59" s="31"/>
      <c r="E59" s="31"/>
      <c r="F59" s="31"/>
      <c r="G59" s="31"/>
      <c r="H59" s="31"/>
      <c r="I59" s="31"/>
      <c r="J59" s="31"/>
      <c r="K59"/>
      <c r="L59"/>
      <c r="M59"/>
      <c r="N59"/>
      <c r="O59"/>
      <c r="P59"/>
      <c r="Q59"/>
      <c r="R59"/>
      <c r="S59"/>
      <c r="T59"/>
      <c r="U59"/>
    </row>
    <row r="60" spans="2:21" ht="15" customHeight="1" x14ac:dyDescent="0.25">
      <c r="B60" s="31"/>
      <c r="C60" s="31"/>
      <c r="D60" s="31"/>
      <c r="E60" s="31"/>
      <c r="F60" s="31"/>
      <c r="G60" s="31"/>
      <c r="H60" s="31"/>
      <c r="I60" s="31"/>
      <c r="J60" s="31"/>
      <c r="K60"/>
      <c r="L60"/>
      <c r="M60"/>
      <c r="N60"/>
      <c r="O60"/>
      <c r="P60"/>
      <c r="Q60"/>
      <c r="R60"/>
      <c r="S60"/>
      <c r="T60"/>
      <c r="U60"/>
    </row>
    <row r="61" spans="2:21" ht="15" customHeight="1" x14ac:dyDescent="0.25">
      <c r="B61" s="31"/>
      <c r="C61" s="31"/>
      <c r="D61" s="31"/>
      <c r="E61" s="31"/>
      <c r="F61" s="31"/>
      <c r="G61" s="31"/>
      <c r="H61" s="31"/>
      <c r="I61" s="31"/>
      <c r="J61" s="31"/>
      <c r="K61"/>
      <c r="L61"/>
      <c r="M61"/>
      <c r="N61"/>
      <c r="O61"/>
      <c r="P61"/>
      <c r="Q61"/>
      <c r="R61"/>
      <c r="S61"/>
      <c r="T61"/>
      <c r="U61"/>
    </row>
    <row r="62" spans="2:21" ht="15" customHeight="1" x14ac:dyDescent="0.25">
      <c r="B62" s="31"/>
      <c r="C62" s="31"/>
      <c r="D62" s="31"/>
      <c r="E62" s="31"/>
      <c r="F62" s="31"/>
      <c r="G62" s="31"/>
      <c r="H62" s="31"/>
      <c r="I62" s="31"/>
      <c r="J62" s="31"/>
      <c r="K62"/>
      <c r="L62"/>
      <c r="M62"/>
      <c r="N62"/>
      <c r="O62"/>
      <c r="P62"/>
      <c r="Q62"/>
      <c r="R62"/>
      <c r="S62"/>
      <c r="T62"/>
      <c r="U62"/>
    </row>
    <row r="63" spans="2:21" ht="15" customHeight="1" x14ac:dyDescent="0.25">
      <c r="B63" s="31"/>
      <c r="C63" s="31"/>
      <c r="D63" s="31"/>
      <c r="E63" s="31"/>
      <c r="F63" s="31"/>
      <c r="G63" s="31"/>
      <c r="H63" s="31"/>
      <c r="I63" s="31"/>
      <c r="J63" s="31"/>
      <c r="K63"/>
      <c r="L63"/>
      <c r="M63"/>
      <c r="N63"/>
      <c r="O63"/>
      <c r="P63"/>
      <c r="Q63"/>
      <c r="R63"/>
      <c r="S63"/>
      <c r="T63"/>
      <c r="U63"/>
    </row>
    <row r="64" spans="2:21" ht="15" customHeight="1" x14ac:dyDescent="0.25">
      <c r="B64" s="31"/>
      <c r="C64" s="31"/>
      <c r="D64" s="31"/>
      <c r="E64" s="31"/>
      <c r="F64" s="31"/>
      <c r="G64" s="31"/>
      <c r="H64" s="31"/>
      <c r="I64" s="31"/>
      <c r="J64" s="31"/>
      <c r="K64"/>
      <c r="L64"/>
      <c r="M64"/>
      <c r="N64"/>
      <c r="O64"/>
      <c r="P64"/>
      <c r="Q64"/>
      <c r="R64"/>
      <c r="S64"/>
      <c r="T64"/>
      <c r="U64"/>
    </row>
    <row r="65" spans="2:21" ht="15" customHeight="1" x14ac:dyDescent="0.25">
      <c r="B65" s="31"/>
      <c r="C65" s="31"/>
      <c r="D65" s="31"/>
      <c r="E65" s="31"/>
      <c r="F65" s="31"/>
      <c r="G65" s="31"/>
      <c r="H65" s="31"/>
      <c r="I65" s="31"/>
      <c r="J65" s="31"/>
      <c r="K65"/>
      <c r="L65"/>
      <c r="M65"/>
      <c r="N65"/>
      <c r="O65"/>
      <c r="P65"/>
      <c r="Q65"/>
      <c r="R65"/>
      <c r="S65"/>
      <c r="T65"/>
      <c r="U65"/>
    </row>
    <row r="66" spans="2:21" ht="15" customHeight="1" x14ac:dyDescent="0.25">
      <c r="B66" s="31"/>
      <c r="C66" s="31"/>
      <c r="D66" s="31"/>
      <c r="E66" s="31"/>
      <c r="F66" s="31"/>
      <c r="G66" s="31"/>
      <c r="H66" s="31"/>
      <c r="I66" s="31"/>
      <c r="J66" s="31"/>
      <c r="K66"/>
      <c r="L66"/>
      <c r="M66"/>
      <c r="N66"/>
      <c r="O66"/>
      <c r="P66"/>
      <c r="Q66"/>
      <c r="R66"/>
      <c r="S66"/>
      <c r="T66"/>
      <c r="U66"/>
    </row>
    <row r="67" spans="2:21" ht="15" customHeight="1" x14ac:dyDescent="0.25">
      <c r="B67" s="31"/>
      <c r="C67" s="31"/>
      <c r="D67" s="31"/>
      <c r="E67" s="31"/>
      <c r="F67" s="31"/>
      <c r="G67" s="31"/>
      <c r="H67" s="31"/>
      <c r="I67" s="31"/>
      <c r="J67" s="31"/>
      <c r="K67"/>
      <c r="L67"/>
      <c r="M67"/>
      <c r="N67"/>
      <c r="O67"/>
      <c r="P67"/>
      <c r="Q67"/>
      <c r="R67"/>
      <c r="S67"/>
      <c r="T67"/>
      <c r="U67"/>
    </row>
    <row r="68" spans="2:21" ht="15" customHeight="1" x14ac:dyDescent="0.25">
      <c r="B68" s="31"/>
      <c r="C68" s="31"/>
      <c r="D68" s="31"/>
      <c r="E68" s="31"/>
      <c r="F68" s="31"/>
      <c r="G68" s="31"/>
      <c r="H68" s="31"/>
      <c r="I68" s="31"/>
      <c r="J68" s="31"/>
      <c r="K68"/>
      <c r="L68"/>
      <c r="M68"/>
      <c r="N68"/>
      <c r="O68"/>
      <c r="P68"/>
      <c r="Q68"/>
      <c r="R68"/>
      <c r="S68"/>
      <c r="T68"/>
      <c r="U68"/>
    </row>
    <row r="69" spans="2:21" ht="15" customHeight="1" x14ac:dyDescent="0.25">
      <c r="B69" s="31"/>
      <c r="C69" s="31"/>
      <c r="D69" s="31"/>
      <c r="E69" s="31"/>
      <c r="F69" s="31"/>
      <c r="G69" s="31"/>
      <c r="H69" s="31"/>
      <c r="I69" s="31"/>
      <c r="J69" s="31"/>
      <c r="K69"/>
      <c r="L69"/>
      <c r="M69"/>
      <c r="N69"/>
      <c r="O69"/>
      <c r="P69"/>
      <c r="Q69"/>
      <c r="R69"/>
      <c r="S69"/>
      <c r="T69"/>
      <c r="U69"/>
    </row>
    <row r="70" spans="2:21" ht="15" customHeight="1" x14ac:dyDescent="0.25">
      <c r="B70" s="31"/>
      <c r="C70" s="31"/>
      <c r="D70" s="31"/>
      <c r="E70" s="31"/>
      <c r="F70" s="31"/>
      <c r="G70" s="31"/>
      <c r="H70" s="31"/>
      <c r="I70" s="31"/>
      <c r="J70" s="31"/>
      <c r="K70"/>
      <c r="L70"/>
      <c r="M70"/>
      <c r="N70"/>
      <c r="O70"/>
      <c r="P70"/>
      <c r="Q70"/>
      <c r="R70"/>
      <c r="S70"/>
      <c r="T70"/>
      <c r="U70"/>
    </row>
    <row r="71" spans="2:21" ht="15" customHeight="1" x14ac:dyDescent="0.25">
      <c r="B71" s="31"/>
      <c r="C71" s="31"/>
      <c r="D71" s="31"/>
      <c r="E71" s="31"/>
      <c r="F71" s="31"/>
      <c r="G71" s="31"/>
      <c r="H71" s="31"/>
      <c r="I71" s="31"/>
      <c r="J71" s="31"/>
      <c r="K71"/>
      <c r="L71"/>
      <c r="M71"/>
      <c r="N71"/>
      <c r="O71"/>
      <c r="P71"/>
      <c r="Q71"/>
      <c r="R71"/>
      <c r="S71"/>
      <c r="T71"/>
      <c r="U71"/>
    </row>
    <row r="72" spans="2:21" ht="15" customHeight="1" x14ac:dyDescent="0.25">
      <c r="B72" s="31"/>
      <c r="C72" s="31"/>
      <c r="D72" s="31"/>
      <c r="E72" s="31"/>
      <c r="F72" s="31"/>
      <c r="G72" s="31"/>
      <c r="H72" s="31"/>
      <c r="I72" s="31"/>
      <c r="J72" s="31"/>
      <c r="K72"/>
      <c r="L72"/>
      <c r="M72"/>
      <c r="N72"/>
      <c r="O72"/>
      <c r="P72"/>
      <c r="Q72"/>
      <c r="R72"/>
      <c r="S72"/>
      <c r="T72"/>
      <c r="U72"/>
    </row>
    <row r="73" spans="2:21" ht="15" customHeight="1" x14ac:dyDescent="0.25">
      <c r="B73" s="31"/>
      <c r="C73" s="31"/>
      <c r="D73" s="31"/>
      <c r="E73" s="31"/>
      <c r="F73" s="31"/>
      <c r="G73" s="31"/>
      <c r="H73" s="31"/>
      <c r="I73" s="31"/>
      <c r="J73" s="31"/>
      <c r="K73"/>
      <c r="L73"/>
      <c r="M73"/>
      <c r="N73"/>
      <c r="O73"/>
      <c r="P73"/>
      <c r="Q73"/>
      <c r="R73"/>
      <c r="S73"/>
      <c r="T73"/>
      <c r="U73"/>
    </row>
    <row r="74" spans="2:21" ht="15" customHeight="1" x14ac:dyDescent="0.25">
      <c r="B74" s="31"/>
      <c r="C74" s="31"/>
      <c r="D74" s="31"/>
      <c r="E74" s="31"/>
      <c r="F74" s="31"/>
      <c r="G74" s="31"/>
      <c r="H74" s="31"/>
      <c r="I74" s="31"/>
      <c r="J74" s="31"/>
      <c r="K74"/>
      <c r="L74"/>
      <c r="M74"/>
      <c r="N74"/>
      <c r="O74"/>
      <c r="P74"/>
      <c r="Q74"/>
      <c r="R74"/>
      <c r="S74"/>
      <c r="T74"/>
      <c r="U74"/>
    </row>
    <row r="75" spans="2:21" ht="15" customHeight="1" x14ac:dyDescent="0.25">
      <c r="B75" s="31"/>
      <c r="C75" s="31"/>
      <c r="D75" s="31"/>
      <c r="E75" s="31"/>
      <c r="F75" s="31"/>
      <c r="G75" s="31"/>
      <c r="H75" s="31"/>
      <c r="I75" s="31"/>
      <c r="J75" s="31"/>
      <c r="K75"/>
      <c r="L75"/>
      <c r="M75"/>
      <c r="N75"/>
      <c r="O75"/>
      <c r="P75"/>
      <c r="Q75"/>
      <c r="R75"/>
      <c r="S75"/>
      <c r="T75"/>
      <c r="U75"/>
    </row>
    <row r="76" spans="2:21" ht="15" customHeight="1" x14ac:dyDescent="0.25">
      <c r="B76" s="31"/>
      <c r="C76" s="31"/>
      <c r="D76" s="31"/>
      <c r="E76" s="31"/>
      <c r="F76" s="31"/>
      <c r="G76" s="31"/>
      <c r="H76" s="31"/>
      <c r="I76" s="31"/>
      <c r="J76" s="31"/>
      <c r="K76"/>
      <c r="L76"/>
      <c r="M76"/>
      <c r="N76"/>
      <c r="O76"/>
      <c r="P76"/>
      <c r="Q76"/>
      <c r="R76"/>
      <c r="S76"/>
      <c r="T76"/>
      <c r="U76"/>
    </row>
    <row r="77" spans="2:21" ht="15" customHeight="1" x14ac:dyDescent="0.25">
      <c r="B77" s="31"/>
      <c r="C77" s="31"/>
      <c r="D77" s="31"/>
      <c r="E77" s="31"/>
      <c r="F77" s="31"/>
      <c r="G77" s="31"/>
      <c r="H77" s="31"/>
      <c r="I77" s="31"/>
      <c r="J77" s="31"/>
      <c r="K77"/>
      <c r="L77"/>
      <c r="M77"/>
      <c r="N77"/>
      <c r="O77"/>
      <c r="P77"/>
      <c r="Q77"/>
      <c r="R77"/>
      <c r="S77"/>
      <c r="T77"/>
      <c r="U77"/>
    </row>
    <row r="78" spans="2:21" ht="15" customHeight="1" x14ac:dyDescent="0.25">
      <c r="B78" s="31"/>
      <c r="C78" s="31"/>
      <c r="D78" s="31"/>
      <c r="E78" s="31"/>
      <c r="F78" s="31"/>
      <c r="G78" s="31"/>
      <c r="H78" s="31"/>
      <c r="I78" s="31"/>
      <c r="J78" s="31"/>
      <c r="K78"/>
      <c r="L78"/>
      <c r="M78"/>
      <c r="N78"/>
      <c r="O78"/>
      <c r="P78"/>
      <c r="Q78"/>
      <c r="R78"/>
      <c r="S78"/>
      <c r="T78"/>
      <c r="U78"/>
    </row>
    <row r="79" spans="2:21" ht="15" customHeight="1" x14ac:dyDescent="0.25">
      <c r="B79" s="31"/>
      <c r="C79" s="31"/>
      <c r="D79" s="31"/>
      <c r="E79" s="31"/>
      <c r="F79" s="31"/>
      <c r="G79" s="31"/>
      <c r="H79" s="31"/>
      <c r="I79" s="31"/>
      <c r="J79" s="31"/>
      <c r="K79"/>
      <c r="L79"/>
      <c r="M79"/>
      <c r="N79"/>
      <c r="O79"/>
      <c r="P79"/>
      <c r="Q79"/>
      <c r="R79"/>
      <c r="S79"/>
      <c r="T79"/>
      <c r="U79"/>
    </row>
    <row r="80" spans="2:21" ht="15" customHeight="1" x14ac:dyDescent="0.25">
      <c r="B80" s="31"/>
      <c r="C80" s="31"/>
      <c r="D80" s="31"/>
      <c r="E80" s="31"/>
      <c r="F80" s="31"/>
      <c r="G80" s="31"/>
      <c r="H80" s="31"/>
      <c r="I80" s="31"/>
      <c r="J80" s="31"/>
      <c r="K80"/>
      <c r="L80"/>
      <c r="M80"/>
      <c r="N80"/>
      <c r="O80"/>
      <c r="P80"/>
      <c r="Q80"/>
      <c r="R80"/>
      <c r="S80"/>
      <c r="T80"/>
      <c r="U80"/>
    </row>
    <row r="81" spans="2:21" ht="15" customHeight="1" x14ac:dyDescent="0.25">
      <c r="B81" s="31"/>
      <c r="C81" s="31"/>
      <c r="D81" s="31"/>
      <c r="E81" s="31"/>
      <c r="F81" s="31"/>
      <c r="G81" s="31"/>
      <c r="H81" s="31"/>
      <c r="I81" s="31"/>
      <c r="J81" s="31"/>
      <c r="K81"/>
      <c r="L81"/>
      <c r="M81"/>
      <c r="N81"/>
      <c r="O81"/>
      <c r="P81"/>
      <c r="Q81"/>
      <c r="R81"/>
      <c r="S81"/>
      <c r="T81"/>
      <c r="U81"/>
    </row>
    <row r="82" spans="2:21" ht="15" customHeight="1" x14ac:dyDescent="0.25">
      <c r="B82" s="31"/>
      <c r="C82" s="31"/>
      <c r="D82" s="31"/>
      <c r="E82" s="31"/>
      <c r="F82" s="31"/>
      <c r="G82" s="31"/>
      <c r="H82" s="31"/>
      <c r="I82" s="31"/>
      <c r="J82" s="31"/>
      <c r="K82"/>
      <c r="L82"/>
      <c r="M82"/>
      <c r="N82"/>
      <c r="O82"/>
      <c r="P82"/>
      <c r="Q82"/>
      <c r="R82"/>
      <c r="S82"/>
      <c r="T82"/>
      <c r="U82"/>
    </row>
    <row r="83" spans="2:21" ht="15" customHeight="1" x14ac:dyDescent="0.25">
      <c r="B83" s="31"/>
      <c r="C83" s="31"/>
      <c r="D83" s="31"/>
      <c r="E83" s="31"/>
      <c r="F83" s="31"/>
      <c r="G83" s="31"/>
      <c r="H83" s="31"/>
      <c r="I83" s="31"/>
      <c r="J83" s="31"/>
      <c r="K83"/>
      <c r="L83"/>
      <c r="M83"/>
      <c r="N83"/>
      <c r="O83"/>
      <c r="P83"/>
      <c r="Q83"/>
      <c r="R83"/>
      <c r="S83"/>
      <c r="T83"/>
      <c r="U83"/>
    </row>
    <row r="84" spans="2:21" ht="15" customHeight="1" x14ac:dyDescent="0.25">
      <c r="B84" s="31"/>
      <c r="C84" s="31"/>
      <c r="D84" s="31"/>
      <c r="E84" s="31"/>
      <c r="F84" s="31"/>
      <c r="G84" s="31"/>
      <c r="H84" s="31"/>
      <c r="I84" s="31"/>
      <c r="J84" s="31"/>
      <c r="K84"/>
      <c r="L84"/>
      <c r="M84"/>
      <c r="N84"/>
      <c r="O84"/>
      <c r="P84"/>
      <c r="Q84"/>
      <c r="R84"/>
      <c r="S84"/>
      <c r="T84"/>
      <c r="U84"/>
    </row>
    <row r="85" spans="2:21" ht="15" customHeight="1" x14ac:dyDescent="0.25">
      <c r="B85" s="31"/>
      <c r="C85" s="31"/>
      <c r="D85" s="31"/>
      <c r="E85" s="31"/>
      <c r="F85" s="31"/>
      <c r="G85" s="31"/>
      <c r="H85" s="31"/>
      <c r="I85" s="31"/>
      <c r="J85" s="31"/>
      <c r="K85"/>
      <c r="L85"/>
      <c r="M85"/>
      <c r="N85"/>
      <c r="O85"/>
      <c r="P85"/>
      <c r="Q85"/>
      <c r="R85"/>
      <c r="S85"/>
      <c r="T85"/>
      <c r="U85"/>
    </row>
    <row r="86" spans="2:21" ht="15" customHeight="1" x14ac:dyDescent="0.25">
      <c r="B86" s="31"/>
      <c r="C86" s="31"/>
      <c r="D86" s="31"/>
      <c r="E86" s="31"/>
      <c r="F86" s="31"/>
      <c r="G86" s="31"/>
      <c r="H86" s="31"/>
      <c r="I86" s="31"/>
      <c r="J86" s="31"/>
      <c r="K86"/>
      <c r="L86"/>
      <c r="M86"/>
      <c r="N86"/>
      <c r="O86"/>
      <c r="P86"/>
      <c r="Q86"/>
      <c r="R86"/>
      <c r="S86"/>
      <c r="T86"/>
      <c r="U86"/>
    </row>
    <row r="87" spans="2:21" ht="15" customHeight="1" x14ac:dyDescent="0.25">
      <c r="B87" s="31"/>
      <c r="C87" s="31"/>
      <c r="D87" s="31"/>
      <c r="E87" s="31"/>
      <c r="F87" s="31"/>
      <c r="G87" s="31"/>
      <c r="H87" s="31"/>
      <c r="I87" s="31"/>
      <c r="J87" s="31"/>
      <c r="K87"/>
      <c r="L87"/>
      <c r="M87"/>
      <c r="N87"/>
      <c r="O87"/>
      <c r="P87"/>
      <c r="Q87"/>
      <c r="R87"/>
      <c r="S87"/>
      <c r="T87"/>
      <c r="U87"/>
    </row>
    <row r="88" spans="2:21" ht="15" customHeight="1" x14ac:dyDescent="0.25">
      <c r="B88" s="31"/>
      <c r="C88" s="31"/>
      <c r="D88" s="31"/>
      <c r="E88" s="31"/>
      <c r="F88" s="31"/>
      <c r="G88" s="31"/>
      <c r="H88" s="31"/>
      <c r="I88" s="31"/>
      <c r="J88" s="31"/>
      <c r="K88"/>
      <c r="L88"/>
      <c r="M88"/>
      <c r="N88"/>
      <c r="O88"/>
      <c r="P88"/>
      <c r="Q88"/>
      <c r="R88"/>
      <c r="S88"/>
      <c r="T88"/>
      <c r="U88"/>
    </row>
    <row r="89" spans="2:21" ht="15" customHeight="1" x14ac:dyDescent="0.25">
      <c r="B89" s="31"/>
      <c r="C89" s="31"/>
      <c r="D89" s="31"/>
      <c r="E89" s="31"/>
      <c r="F89" s="31"/>
      <c r="G89" s="31"/>
      <c r="H89" s="31"/>
      <c r="I89" s="31"/>
      <c r="J89" s="31"/>
      <c r="K89"/>
      <c r="L89"/>
      <c r="M89"/>
      <c r="N89"/>
      <c r="O89"/>
      <c r="P89"/>
      <c r="Q89"/>
      <c r="R89"/>
      <c r="S89"/>
      <c r="T89"/>
      <c r="U89"/>
    </row>
    <row r="90" spans="2:21" ht="15" customHeight="1" x14ac:dyDescent="0.25">
      <c r="B90" s="31"/>
      <c r="C90" s="31"/>
      <c r="D90" s="31"/>
      <c r="E90" s="31"/>
      <c r="F90" s="31"/>
      <c r="G90" s="31"/>
      <c r="H90" s="31"/>
      <c r="I90" s="31"/>
      <c r="J90" s="31"/>
      <c r="K90"/>
      <c r="L90"/>
      <c r="M90"/>
      <c r="N90"/>
      <c r="O90"/>
      <c r="P90"/>
      <c r="Q90"/>
      <c r="R90"/>
      <c r="S90"/>
      <c r="T90"/>
      <c r="U90"/>
    </row>
    <row r="91" spans="2:21" ht="15" customHeight="1" x14ac:dyDescent="0.25">
      <c r="B91" s="31"/>
      <c r="C91" s="31"/>
      <c r="D91" s="31"/>
      <c r="E91" s="31"/>
      <c r="F91" s="31"/>
      <c r="G91" s="31"/>
      <c r="H91" s="31"/>
      <c r="I91" s="31"/>
      <c r="J91" s="31"/>
      <c r="K91"/>
      <c r="L91"/>
      <c r="M91"/>
      <c r="N91"/>
      <c r="O91"/>
      <c r="P91"/>
      <c r="Q91"/>
      <c r="R91"/>
      <c r="S91"/>
      <c r="T91"/>
      <c r="U91"/>
    </row>
    <row r="92" spans="2:21" ht="15" customHeight="1" x14ac:dyDescent="0.25">
      <c r="B92" s="31"/>
      <c r="C92" s="31"/>
      <c r="D92" s="31"/>
      <c r="E92" s="31"/>
      <c r="F92" s="31"/>
      <c r="G92" s="31"/>
      <c r="H92" s="31"/>
      <c r="I92" s="31"/>
      <c r="J92" s="31"/>
      <c r="K92"/>
      <c r="L92"/>
      <c r="M92"/>
      <c r="N92"/>
      <c r="O92"/>
      <c r="P92"/>
      <c r="Q92"/>
      <c r="R92"/>
      <c r="S92"/>
      <c r="T92"/>
      <c r="U92"/>
    </row>
    <row r="93" spans="2:21" ht="15" customHeight="1" x14ac:dyDescent="0.25">
      <c r="B93" s="31"/>
      <c r="C93" s="31"/>
      <c r="D93" s="31"/>
      <c r="E93" s="31"/>
      <c r="F93" s="31"/>
      <c r="G93" s="31"/>
      <c r="H93" s="31"/>
      <c r="I93" s="31"/>
      <c r="J93" s="31"/>
      <c r="K93"/>
      <c r="L93"/>
      <c r="M93"/>
      <c r="N93"/>
      <c r="O93"/>
      <c r="P93"/>
      <c r="Q93"/>
      <c r="R93"/>
      <c r="S93"/>
      <c r="T93"/>
      <c r="U93"/>
    </row>
    <row r="94" spans="2:21" ht="15" customHeight="1" x14ac:dyDescent="0.25">
      <c r="B94" s="31"/>
      <c r="C94" s="31"/>
      <c r="D94" s="31"/>
      <c r="E94" s="31"/>
      <c r="F94" s="31"/>
      <c r="G94" s="31"/>
      <c r="H94" s="31"/>
      <c r="I94" s="31"/>
      <c r="J94" s="31"/>
      <c r="K94"/>
      <c r="L94"/>
      <c r="M94"/>
      <c r="N94"/>
      <c r="O94"/>
      <c r="P94"/>
      <c r="Q94"/>
      <c r="R94"/>
      <c r="S94"/>
      <c r="T94"/>
      <c r="U94"/>
    </row>
    <row r="95" spans="2:21" ht="15" customHeight="1" x14ac:dyDescent="0.25">
      <c r="B95" s="31"/>
      <c r="C95" s="31"/>
      <c r="D95" s="31"/>
      <c r="E95" s="31"/>
      <c r="F95" s="31"/>
      <c r="G95" s="31"/>
      <c r="H95" s="31"/>
      <c r="I95" s="31"/>
      <c r="J95" s="31"/>
      <c r="K95"/>
      <c r="L95"/>
      <c r="M95"/>
      <c r="N95"/>
      <c r="O95"/>
      <c r="P95"/>
      <c r="Q95"/>
      <c r="R95"/>
      <c r="S95"/>
      <c r="T95"/>
      <c r="U95"/>
    </row>
    <row r="96" spans="2:21" ht="15" customHeight="1" x14ac:dyDescent="0.25">
      <c r="B96" s="31"/>
      <c r="C96" s="31"/>
      <c r="D96" s="31"/>
      <c r="E96" s="31"/>
      <c r="F96" s="31"/>
      <c r="G96" s="31"/>
      <c r="H96" s="31"/>
      <c r="I96" s="31"/>
      <c r="J96" s="31"/>
      <c r="K96"/>
      <c r="L96"/>
      <c r="M96"/>
      <c r="N96"/>
      <c r="O96"/>
      <c r="P96"/>
      <c r="Q96"/>
      <c r="R96"/>
      <c r="S96"/>
      <c r="T96"/>
      <c r="U96"/>
    </row>
    <row r="97" spans="2:21" ht="15" customHeight="1" x14ac:dyDescent="0.25">
      <c r="B97" s="31"/>
      <c r="C97" s="31"/>
      <c r="D97" s="31"/>
      <c r="E97" s="31"/>
      <c r="F97" s="31"/>
      <c r="G97" s="31"/>
      <c r="H97" s="31"/>
      <c r="I97" s="31"/>
      <c r="J97" s="31"/>
      <c r="K97"/>
      <c r="L97"/>
      <c r="M97"/>
      <c r="N97"/>
      <c r="O97"/>
      <c r="P97"/>
      <c r="Q97"/>
      <c r="R97"/>
      <c r="S97"/>
      <c r="T97"/>
      <c r="U97"/>
    </row>
    <row r="98" spans="2:21" ht="15" customHeight="1" x14ac:dyDescent="0.25">
      <c r="B98" s="31"/>
      <c r="C98" s="31"/>
      <c r="D98" s="31"/>
      <c r="E98" s="31"/>
      <c r="F98" s="31"/>
      <c r="G98" s="31"/>
      <c r="H98" s="31"/>
      <c r="I98" s="31"/>
      <c r="J98" s="31"/>
      <c r="K98"/>
      <c r="L98"/>
      <c r="M98"/>
      <c r="N98"/>
      <c r="O98"/>
      <c r="P98"/>
      <c r="Q98"/>
      <c r="R98"/>
      <c r="S98"/>
      <c r="T98"/>
      <c r="U98"/>
    </row>
    <row r="99" spans="2:21" ht="15" customHeight="1" x14ac:dyDescent="0.25">
      <c r="B99" s="31"/>
      <c r="C99" s="31"/>
      <c r="D99" s="31"/>
      <c r="E99" s="31"/>
      <c r="F99" s="31"/>
      <c r="G99" s="31"/>
      <c r="H99" s="31"/>
      <c r="I99" s="31"/>
      <c r="J99" s="31"/>
      <c r="K99"/>
      <c r="L99"/>
      <c r="M99"/>
      <c r="N99"/>
      <c r="O99"/>
      <c r="P99"/>
      <c r="Q99"/>
      <c r="R99"/>
      <c r="S99"/>
      <c r="T99"/>
      <c r="U99"/>
    </row>
    <row r="100" spans="2:21" ht="15" customHeight="1" x14ac:dyDescent="0.25">
      <c r="B100" s="31"/>
      <c r="C100" s="31"/>
      <c r="D100" s="31"/>
      <c r="E100" s="31"/>
      <c r="F100" s="31"/>
      <c r="G100" s="31"/>
      <c r="H100" s="31"/>
      <c r="I100" s="31"/>
      <c r="J100" s="31"/>
      <c r="K100"/>
      <c r="L100"/>
      <c r="M100"/>
      <c r="N100"/>
      <c r="O100"/>
      <c r="P100"/>
      <c r="Q100"/>
      <c r="R100"/>
      <c r="S100"/>
      <c r="T100"/>
      <c r="U100"/>
    </row>
    <row r="101" spans="2:21" ht="15" customHeight="1" x14ac:dyDescent="0.25">
      <c r="B101" s="31"/>
      <c r="C101" s="31"/>
      <c r="D101" s="31"/>
      <c r="E101" s="31"/>
      <c r="F101" s="31"/>
      <c r="G101" s="31"/>
      <c r="H101" s="31"/>
      <c r="I101" s="31"/>
      <c r="J101" s="31"/>
      <c r="K101"/>
      <c r="L101"/>
      <c r="M101"/>
      <c r="N101"/>
      <c r="O101"/>
      <c r="P101"/>
      <c r="Q101"/>
      <c r="R101"/>
      <c r="S101"/>
      <c r="T101"/>
      <c r="U101"/>
    </row>
  </sheetData>
  <mergeCells count="1">
    <mergeCell ref="H1:I1"/>
  </mergeCells>
  <conditionalFormatting sqref="B1">
    <cfRule type="cellIs" dxfId="80" priority="1" operator="equal">
      <formula>"Incomplete"</formula>
    </cfRule>
    <cfRule type="cellIs" dxfId="79" priority="2" operator="equal">
      <formula>"Flag for Review"</formula>
    </cfRule>
    <cfRule type="cellIs" dxfId="78" priority="3" operator="equal">
      <formula>"Finished"</formula>
    </cfRule>
  </conditionalFormatting>
  <dataValidations count="1">
    <dataValidation type="list" allowBlank="1" showInputMessage="1" showErrorMessage="1" sqref="B1">
      <formula1>"Finished, Flag for Review, Incomplete"</formula1>
    </dataValidation>
  </dataValidations>
  <hyperlinks>
    <hyperlink ref="H1" location="'Point Grid'!A8" display="Return to Point Grid"/>
    <hyperlink ref="H1:I1" location="'Point Grid'!A1" display="Return to Point Grid"/>
  </hyperlink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/>
  <dimension ref="A1:U101"/>
  <sheetViews>
    <sheetView zoomScaleNormal="100" workbookViewId="0"/>
  </sheetViews>
  <sheetFormatPr defaultColWidth="9.140625" defaultRowHeight="15" x14ac:dyDescent="0.25"/>
  <cols>
    <col min="1" max="1" width="9.140625" style="21"/>
    <col min="2" max="2" width="16" style="21" bestFit="1" customWidth="1"/>
    <col min="3" max="9" width="11.140625" style="21" customWidth="1"/>
    <col min="10" max="16384" width="9.140625" style="21"/>
  </cols>
  <sheetData>
    <row r="1" spans="1:21" x14ac:dyDescent="0.25">
      <c r="A1" s="7">
        <v>5</v>
      </c>
      <c r="B1" s="27" t="s">
        <v>12</v>
      </c>
      <c r="C1" s="20"/>
      <c r="D1" s="20"/>
      <c r="E1" s="20"/>
      <c r="F1" s="20"/>
      <c r="G1" s="20"/>
      <c r="H1" s="384" t="s">
        <v>24</v>
      </c>
      <c r="I1" s="385"/>
      <c r="K1"/>
      <c r="L1"/>
      <c r="M1"/>
      <c r="N1"/>
      <c r="O1"/>
      <c r="P1"/>
      <c r="Q1"/>
      <c r="R1"/>
      <c r="S1"/>
      <c r="T1"/>
      <c r="U1"/>
    </row>
    <row r="2" spans="1:21" x14ac:dyDescent="0.25">
      <c r="A2" s="22"/>
      <c r="B2" s="19"/>
      <c r="C2" s="19"/>
      <c r="D2" s="19"/>
      <c r="E2" s="19"/>
      <c r="F2" s="19"/>
      <c r="G2" s="19"/>
      <c r="H2" s="19"/>
      <c r="I2" s="23"/>
      <c r="K2"/>
      <c r="L2"/>
      <c r="M2"/>
      <c r="N2"/>
      <c r="O2"/>
      <c r="P2"/>
      <c r="Q2"/>
      <c r="R2"/>
      <c r="S2"/>
      <c r="T2"/>
      <c r="U2"/>
    </row>
    <row r="3" spans="1:21" x14ac:dyDescent="0.25">
      <c r="A3" s="8" t="s">
        <v>13</v>
      </c>
      <c r="B3" s="17"/>
      <c r="C3" s="17"/>
      <c r="D3" s="17"/>
      <c r="E3" s="17"/>
      <c r="F3" s="17"/>
      <c r="G3" s="17"/>
      <c r="H3" s="17"/>
      <c r="I3" s="18"/>
      <c r="J3" s="31"/>
      <c r="K3"/>
      <c r="L3"/>
      <c r="M3"/>
      <c r="N3"/>
      <c r="O3"/>
      <c r="P3"/>
      <c r="Q3"/>
      <c r="R3"/>
      <c r="S3"/>
      <c r="T3"/>
      <c r="U3"/>
    </row>
    <row r="4" spans="1:21" x14ac:dyDescent="0.25">
      <c r="A4" s="9">
        <f>INDEX('Point Grid'!B:B,MATCH(A1,'Point Grid'!A:A,0))</f>
        <v>1</v>
      </c>
      <c r="B4" s="17" t="s">
        <v>40</v>
      </c>
      <c r="C4" s="17"/>
      <c r="D4" s="17"/>
      <c r="E4" s="17"/>
      <c r="F4" s="17"/>
      <c r="G4" s="17"/>
      <c r="H4" s="17"/>
      <c r="I4" s="18"/>
      <c r="J4" s="31"/>
      <c r="K4"/>
      <c r="L4"/>
      <c r="M4"/>
      <c r="N4"/>
      <c r="O4"/>
      <c r="P4"/>
      <c r="Q4"/>
      <c r="R4"/>
      <c r="S4"/>
      <c r="T4"/>
      <c r="U4"/>
    </row>
    <row r="5" spans="1:21" x14ac:dyDescent="0.25">
      <c r="A5" s="16"/>
      <c r="B5" s="17"/>
      <c r="C5" s="17"/>
      <c r="D5" s="17"/>
      <c r="E5" s="17"/>
      <c r="F5" s="17"/>
      <c r="G5" s="17"/>
      <c r="H5" s="17"/>
      <c r="I5" s="18"/>
      <c r="J5" s="31"/>
      <c r="K5"/>
      <c r="L5"/>
      <c r="M5"/>
      <c r="N5"/>
      <c r="O5"/>
      <c r="P5"/>
      <c r="Q5"/>
      <c r="R5"/>
      <c r="S5"/>
      <c r="T5"/>
      <c r="U5"/>
    </row>
    <row r="6" spans="1:21" x14ac:dyDescent="0.25">
      <c r="A6" s="25" t="s">
        <v>2</v>
      </c>
      <c r="B6" s="17" t="s">
        <v>53</v>
      </c>
      <c r="C6" s="17"/>
      <c r="D6" s="17"/>
      <c r="E6" s="17"/>
      <c r="F6" s="17"/>
      <c r="G6" s="17"/>
      <c r="H6" s="17"/>
      <c r="I6" s="18"/>
      <c r="J6" s="31"/>
      <c r="K6"/>
      <c r="L6"/>
      <c r="M6"/>
      <c r="N6"/>
      <c r="O6"/>
      <c r="P6"/>
      <c r="Q6"/>
      <c r="R6"/>
      <c r="S6"/>
      <c r="T6"/>
      <c r="U6"/>
    </row>
    <row r="7" spans="1:21" ht="15.75" thickBot="1" x14ac:dyDescent="0.3">
      <c r="A7" s="9">
        <f>INDEX('Point Grid'!$C$8:$I$54,MATCH($A$1,'Point Grid'!$A$8:$A$54,0),MATCH(A6,'Point Grid'!$C$7:$I$7,0))</f>
        <v>1</v>
      </c>
      <c r="B7" s="17"/>
      <c r="C7" s="17"/>
      <c r="D7" s="17"/>
      <c r="E7" s="17"/>
      <c r="F7" s="17"/>
      <c r="G7" s="17"/>
      <c r="H7" s="17"/>
      <c r="I7" s="18"/>
      <c r="J7" s="31"/>
      <c r="K7"/>
      <c r="L7"/>
      <c r="M7"/>
      <c r="N7"/>
      <c r="O7"/>
      <c r="P7"/>
      <c r="Q7"/>
      <c r="R7"/>
      <c r="S7"/>
      <c r="T7"/>
      <c r="U7"/>
    </row>
    <row r="8" spans="1:21" ht="15.75" thickBot="1" x14ac:dyDescent="0.3">
      <c r="A8" s="5"/>
      <c r="B8" s="35" t="s">
        <v>33</v>
      </c>
      <c r="C8" s="64"/>
      <c r="D8" s="28"/>
      <c r="E8" s="28"/>
      <c r="F8" s="28"/>
      <c r="G8" s="28"/>
      <c r="H8" s="28"/>
      <c r="I8" s="18"/>
      <c r="J8" s="31"/>
      <c r="K8"/>
      <c r="L8"/>
      <c r="M8"/>
      <c r="N8"/>
      <c r="O8"/>
      <c r="P8"/>
      <c r="Q8"/>
      <c r="R8"/>
      <c r="S8"/>
      <c r="T8"/>
      <c r="U8"/>
    </row>
    <row r="9" spans="1:21" x14ac:dyDescent="0.25">
      <c r="A9" s="25"/>
      <c r="B9" s="17"/>
      <c r="C9" s="17"/>
      <c r="D9" s="17"/>
      <c r="E9" s="17"/>
      <c r="F9" s="17"/>
      <c r="G9" s="17"/>
      <c r="H9" s="17"/>
      <c r="I9" s="18"/>
      <c r="J9" s="31"/>
      <c r="K9"/>
      <c r="L9"/>
      <c r="M9"/>
      <c r="N9"/>
      <c r="O9"/>
      <c r="P9"/>
      <c r="Q9"/>
      <c r="R9"/>
      <c r="S9"/>
      <c r="T9"/>
      <c r="U9"/>
    </row>
    <row r="10" spans="1:21" x14ac:dyDescent="0.25">
      <c r="A10" s="25"/>
      <c r="B10" s="56" t="s">
        <v>41</v>
      </c>
      <c r="C10" s="36"/>
      <c r="D10" s="36"/>
      <c r="E10" s="45">
        <v>9</v>
      </c>
      <c r="F10" s="17"/>
      <c r="G10" s="17"/>
      <c r="H10" s="17"/>
      <c r="I10" s="18"/>
      <c r="J10" s="31"/>
      <c r="K10"/>
      <c r="L10"/>
      <c r="M10"/>
      <c r="N10"/>
      <c r="O10"/>
      <c r="P10"/>
      <c r="Q10"/>
      <c r="R10"/>
      <c r="S10"/>
      <c r="T10"/>
      <c r="U10"/>
    </row>
    <row r="11" spans="1:21" x14ac:dyDescent="0.25">
      <c r="A11" s="25"/>
      <c r="B11" s="57" t="s">
        <v>42</v>
      </c>
      <c r="C11" s="26"/>
      <c r="D11" s="26"/>
      <c r="E11" s="46">
        <v>100</v>
      </c>
      <c r="F11" s="17"/>
      <c r="G11" s="17"/>
      <c r="H11" s="17"/>
      <c r="I11" s="18"/>
      <c r="J11" s="31"/>
      <c r="K11"/>
      <c r="L11"/>
      <c r="M11"/>
      <c r="N11"/>
      <c r="O11"/>
      <c r="P11"/>
      <c r="Q11"/>
      <c r="R11"/>
      <c r="S11"/>
      <c r="T11"/>
      <c r="U11"/>
    </row>
    <row r="12" spans="1:21" x14ac:dyDescent="0.25">
      <c r="A12" s="25"/>
      <c r="B12" s="59" t="s">
        <v>43</v>
      </c>
      <c r="C12" s="60"/>
      <c r="D12" s="60"/>
      <c r="E12" s="61">
        <v>53100</v>
      </c>
      <c r="F12" s="17"/>
      <c r="G12" s="17"/>
      <c r="H12" s="17"/>
      <c r="I12" s="18"/>
      <c r="J12" s="31"/>
      <c r="K12"/>
      <c r="L12"/>
      <c r="M12"/>
      <c r="N12"/>
      <c r="O12"/>
      <c r="P12"/>
      <c r="Q12"/>
      <c r="R12"/>
      <c r="S12"/>
      <c r="T12"/>
      <c r="U12"/>
    </row>
    <row r="13" spans="1:21" x14ac:dyDescent="0.25">
      <c r="A13" s="25"/>
      <c r="B13" s="57" t="s">
        <v>44</v>
      </c>
      <c r="C13" s="58"/>
      <c r="D13" s="58"/>
      <c r="E13" s="62">
        <v>73800</v>
      </c>
      <c r="F13" s="17"/>
      <c r="G13" s="17"/>
      <c r="H13" s="17"/>
      <c r="I13" s="18"/>
      <c r="J13" s="31"/>
      <c r="K13"/>
      <c r="L13"/>
      <c r="M13"/>
      <c r="N13"/>
      <c r="O13"/>
      <c r="P13"/>
      <c r="Q13"/>
      <c r="R13"/>
      <c r="S13"/>
      <c r="T13"/>
      <c r="U13"/>
    </row>
    <row r="14" spans="1:21" x14ac:dyDescent="0.25">
      <c r="A14" s="25"/>
      <c r="B14" s="59" t="s">
        <v>45</v>
      </c>
      <c r="C14" s="60"/>
      <c r="D14" s="60"/>
      <c r="E14" s="61">
        <v>90000</v>
      </c>
      <c r="F14" s="17"/>
      <c r="G14" s="17"/>
      <c r="H14" s="17"/>
      <c r="I14" s="18"/>
      <c r="J14" s="31"/>
      <c r="K14"/>
      <c r="L14"/>
      <c r="M14"/>
      <c r="N14"/>
      <c r="O14"/>
      <c r="P14"/>
      <c r="Q14"/>
      <c r="R14"/>
      <c r="S14"/>
      <c r="T14"/>
      <c r="U14"/>
    </row>
    <row r="15" spans="1:21" x14ac:dyDescent="0.25">
      <c r="A15" s="25"/>
      <c r="B15" s="57" t="s">
        <v>46</v>
      </c>
      <c r="C15" s="58"/>
      <c r="D15" s="58"/>
      <c r="E15" s="62">
        <v>14300</v>
      </c>
      <c r="F15" s="17"/>
      <c r="G15" s="17"/>
      <c r="H15" s="17"/>
      <c r="I15" s="18"/>
      <c r="J15" s="31"/>
      <c r="K15"/>
      <c r="L15"/>
      <c r="M15"/>
      <c r="N15"/>
      <c r="O15"/>
      <c r="P15"/>
      <c r="Q15"/>
      <c r="R15"/>
      <c r="S15"/>
      <c r="T15"/>
      <c r="U15"/>
    </row>
    <row r="16" spans="1:21" x14ac:dyDescent="0.25">
      <c r="A16" s="25"/>
      <c r="B16" s="57" t="s">
        <v>47</v>
      </c>
      <c r="C16" s="58"/>
      <c r="D16" s="58"/>
      <c r="E16" s="62">
        <v>8100</v>
      </c>
      <c r="F16" s="17"/>
      <c r="G16" s="17"/>
      <c r="H16" s="17"/>
      <c r="I16" s="18"/>
      <c r="J16" s="31"/>
      <c r="K16"/>
      <c r="L16"/>
      <c r="M16"/>
      <c r="N16"/>
      <c r="O16"/>
      <c r="P16"/>
      <c r="Q16"/>
      <c r="R16"/>
      <c r="S16"/>
      <c r="T16"/>
      <c r="U16"/>
    </row>
    <row r="17" spans="1:21" x14ac:dyDescent="0.25">
      <c r="A17" s="25"/>
      <c r="B17" s="59" t="s">
        <v>48</v>
      </c>
      <c r="C17" s="60"/>
      <c r="D17" s="60"/>
      <c r="E17" s="61">
        <v>2950</v>
      </c>
      <c r="F17" s="17"/>
      <c r="G17" s="17"/>
      <c r="H17" s="17"/>
      <c r="I17" s="18"/>
      <c r="J17" s="31"/>
      <c r="K17"/>
      <c r="L17"/>
      <c r="M17"/>
      <c r="N17"/>
      <c r="O17"/>
      <c r="P17"/>
      <c r="Q17"/>
      <c r="R17"/>
      <c r="S17"/>
      <c r="T17"/>
      <c r="U17"/>
    </row>
    <row r="18" spans="1:21" ht="15" customHeight="1" x14ac:dyDescent="0.25">
      <c r="A18" s="25"/>
      <c r="B18" s="57" t="s">
        <v>49</v>
      </c>
      <c r="C18" s="26"/>
      <c r="D18" s="26"/>
      <c r="E18" s="46">
        <v>56</v>
      </c>
      <c r="F18" s="17"/>
      <c r="G18" s="17"/>
      <c r="H18" s="17"/>
      <c r="I18" s="18"/>
      <c r="J18" s="31"/>
      <c r="K18"/>
      <c r="L18"/>
      <c r="M18"/>
      <c r="N18"/>
      <c r="O18"/>
      <c r="P18"/>
      <c r="Q18"/>
      <c r="R18"/>
      <c r="S18"/>
      <c r="T18"/>
      <c r="U18"/>
    </row>
    <row r="19" spans="1:21" ht="15" customHeight="1" x14ac:dyDescent="0.25">
      <c r="A19" s="25"/>
      <c r="B19" s="57" t="s">
        <v>50</v>
      </c>
      <c r="C19" s="26"/>
      <c r="D19" s="26"/>
      <c r="E19" s="46">
        <v>100</v>
      </c>
      <c r="F19" s="17"/>
      <c r="G19" s="17"/>
      <c r="H19" s="17"/>
      <c r="I19" s="18"/>
      <c r="J19" s="31"/>
      <c r="K19"/>
      <c r="L19"/>
      <c r="M19"/>
      <c r="N19"/>
      <c r="O19"/>
      <c r="P19"/>
      <c r="Q19"/>
      <c r="R19"/>
      <c r="S19"/>
      <c r="T19"/>
      <c r="U19"/>
    </row>
    <row r="20" spans="1:21" ht="15" customHeight="1" x14ac:dyDescent="0.25">
      <c r="A20" s="25"/>
      <c r="B20" s="57" t="s">
        <v>51</v>
      </c>
      <c r="C20" s="26"/>
      <c r="D20" s="26"/>
      <c r="E20" s="46">
        <v>101</v>
      </c>
      <c r="F20" s="17"/>
      <c r="G20" s="17"/>
      <c r="H20" s="17"/>
      <c r="I20" s="18"/>
      <c r="J20" s="31"/>
      <c r="K20"/>
      <c r="L20"/>
      <c r="M20"/>
      <c r="N20"/>
      <c r="O20"/>
      <c r="P20"/>
      <c r="Q20"/>
      <c r="R20"/>
      <c r="S20"/>
      <c r="T20"/>
      <c r="U20"/>
    </row>
    <row r="21" spans="1:21" ht="15" customHeight="1" x14ac:dyDescent="0.25">
      <c r="A21" s="25"/>
      <c r="B21" s="59" t="s">
        <v>52</v>
      </c>
      <c r="C21" s="44"/>
      <c r="D21" s="44"/>
      <c r="E21" s="47">
        <v>150</v>
      </c>
      <c r="F21" s="17"/>
      <c r="G21" s="17"/>
      <c r="H21" s="17"/>
      <c r="I21" s="18"/>
      <c r="J21" s="31"/>
      <c r="K21"/>
      <c r="L21"/>
      <c r="M21"/>
      <c r="N21"/>
      <c r="O21"/>
      <c r="P21"/>
      <c r="Q21"/>
      <c r="R21"/>
      <c r="S21"/>
      <c r="T21"/>
      <c r="U21"/>
    </row>
    <row r="22" spans="1:21" ht="15" customHeight="1" x14ac:dyDescent="0.25">
      <c r="A22" s="25"/>
      <c r="B22" s="17"/>
      <c r="C22" s="17"/>
      <c r="D22" s="17"/>
      <c r="E22" s="17"/>
      <c r="F22" s="17"/>
      <c r="G22" s="17"/>
      <c r="H22" s="17"/>
      <c r="I22" s="18"/>
      <c r="J22" s="31"/>
      <c r="K22"/>
      <c r="L22"/>
      <c r="M22"/>
      <c r="N22"/>
      <c r="O22"/>
      <c r="P22"/>
      <c r="Q22"/>
      <c r="R22"/>
      <c r="S22"/>
      <c r="T22"/>
      <c r="U22"/>
    </row>
    <row r="23" spans="1:21" ht="15" customHeight="1" x14ac:dyDescent="0.25">
      <c r="A23" s="25"/>
      <c r="B23" s="17"/>
      <c r="C23" s="17"/>
      <c r="D23" s="17"/>
      <c r="E23" s="17"/>
      <c r="F23" s="17"/>
      <c r="G23" s="17"/>
      <c r="H23" s="17"/>
      <c r="I23" s="18"/>
      <c r="J23" s="31"/>
      <c r="K23"/>
      <c r="L23"/>
      <c r="M23"/>
      <c r="N23"/>
      <c r="O23"/>
      <c r="P23"/>
      <c r="Q23"/>
      <c r="R23"/>
      <c r="S23"/>
      <c r="T23"/>
      <c r="U23"/>
    </row>
    <row r="24" spans="1:21" ht="15" customHeight="1" x14ac:dyDescent="0.25">
      <c r="A24" s="25"/>
      <c r="B24" s="17"/>
      <c r="C24" s="17"/>
      <c r="D24" s="17"/>
      <c r="E24" s="17"/>
      <c r="F24" s="17"/>
      <c r="G24" s="17"/>
      <c r="H24" s="17"/>
      <c r="I24" s="18"/>
      <c r="J24" s="31"/>
      <c r="K24"/>
      <c r="L24"/>
      <c r="M24"/>
      <c r="N24"/>
      <c r="O24"/>
      <c r="P24"/>
      <c r="Q24"/>
      <c r="R24"/>
      <c r="S24"/>
      <c r="T24"/>
      <c r="U24"/>
    </row>
    <row r="25" spans="1:21" ht="15" customHeight="1" x14ac:dyDescent="0.25">
      <c r="A25" s="25"/>
      <c r="B25" s="17"/>
      <c r="C25" s="17"/>
      <c r="D25" s="17"/>
      <c r="E25" s="17"/>
      <c r="F25" s="17"/>
      <c r="G25" s="17"/>
      <c r="H25" s="17"/>
      <c r="I25" s="18"/>
      <c r="J25" s="31"/>
      <c r="K25"/>
      <c r="L25"/>
      <c r="M25"/>
      <c r="N25"/>
      <c r="O25"/>
      <c r="P25"/>
      <c r="Q25"/>
      <c r="R25"/>
      <c r="S25"/>
      <c r="T25"/>
      <c r="U25"/>
    </row>
    <row r="26" spans="1:21" ht="15" customHeight="1" x14ac:dyDescent="0.25">
      <c r="A26" s="25"/>
      <c r="B26" s="17"/>
      <c r="C26" s="17"/>
      <c r="D26" s="17"/>
      <c r="E26" s="17"/>
      <c r="F26" s="17"/>
      <c r="G26" s="17"/>
      <c r="H26" s="17"/>
      <c r="I26" s="18"/>
      <c r="J26" s="31"/>
      <c r="K26"/>
      <c r="L26"/>
      <c r="M26"/>
      <c r="N26"/>
      <c r="O26"/>
      <c r="P26"/>
      <c r="Q26"/>
      <c r="R26"/>
      <c r="S26"/>
      <c r="T26"/>
      <c r="U26"/>
    </row>
    <row r="27" spans="1:21" ht="15" customHeight="1" x14ac:dyDescent="0.25">
      <c r="A27" s="25"/>
      <c r="B27" s="17"/>
      <c r="C27" s="17"/>
      <c r="D27" s="17"/>
      <c r="E27" s="17"/>
      <c r="F27" s="17"/>
      <c r="G27" s="17"/>
      <c r="H27" s="17"/>
      <c r="I27" s="18"/>
      <c r="J27" s="31"/>
      <c r="K27"/>
      <c r="L27"/>
      <c r="M27"/>
      <c r="N27"/>
      <c r="O27"/>
      <c r="P27"/>
      <c r="Q27"/>
      <c r="R27"/>
      <c r="S27"/>
      <c r="T27"/>
      <c r="U27"/>
    </row>
    <row r="28" spans="1:21" ht="15" customHeight="1" x14ac:dyDescent="0.25">
      <c r="A28" s="25"/>
      <c r="B28" s="17"/>
      <c r="C28" s="17"/>
      <c r="D28" s="17"/>
      <c r="E28" s="17"/>
      <c r="F28" s="17"/>
      <c r="G28" s="17"/>
      <c r="H28" s="17"/>
      <c r="I28" s="18"/>
      <c r="J28" s="31"/>
      <c r="K28"/>
      <c r="L28"/>
      <c r="M28"/>
      <c r="N28"/>
      <c r="O28"/>
      <c r="P28"/>
      <c r="Q28"/>
      <c r="R28"/>
      <c r="S28"/>
      <c r="T28"/>
      <c r="U28"/>
    </row>
    <row r="29" spans="1:21" ht="15" customHeight="1" x14ac:dyDescent="0.25">
      <c r="A29" s="22"/>
      <c r="B29" s="17"/>
      <c r="C29" s="17"/>
      <c r="D29" s="17"/>
      <c r="E29" s="17"/>
      <c r="F29" s="17"/>
      <c r="G29" s="17"/>
      <c r="H29" s="17"/>
      <c r="I29" s="18"/>
      <c r="J29" s="31"/>
      <c r="K29"/>
      <c r="L29"/>
      <c r="M29"/>
      <c r="N29"/>
      <c r="O29"/>
      <c r="P29"/>
      <c r="Q29"/>
      <c r="R29"/>
      <c r="S29"/>
      <c r="T29"/>
      <c r="U29"/>
    </row>
    <row r="30" spans="1:21" ht="15" customHeight="1" thickBot="1" x14ac:dyDescent="0.3">
      <c r="A30" s="24"/>
      <c r="B30" s="32"/>
      <c r="C30" s="32"/>
      <c r="D30" s="32"/>
      <c r="E30" s="32"/>
      <c r="F30" s="32"/>
      <c r="G30" s="32"/>
      <c r="H30" s="32"/>
      <c r="I30" s="33"/>
      <c r="J30" s="31"/>
      <c r="K30"/>
      <c r="L30"/>
      <c r="M30"/>
      <c r="N30"/>
      <c r="O30"/>
      <c r="P30"/>
      <c r="Q30"/>
      <c r="R30"/>
      <c r="S30"/>
      <c r="T30"/>
      <c r="U30"/>
    </row>
    <row r="31" spans="1:21" ht="15" customHeight="1" x14ac:dyDescent="0.25">
      <c r="B31" s="31"/>
      <c r="C31" s="31"/>
      <c r="D31" s="31"/>
      <c r="E31" s="31"/>
      <c r="F31" s="31"/>
      <c r="G31" s="31"/>
      <c r="H31" s="31"/>
      <c r="I31" s="31"/>
      <c r="J31" s="31"/>
      <c r="K31"/>
      <c r="L31"/>
      <c r="M31"/>
      <c r="N31"/>
      <c r="O31"/>
      <c r="P31"/>
      <c r="Q31"/>
      <c r="R31"/>
      <c r="S31"/>
      <c r="T31"/>
      <c r="U31"/>
    </row>
    <row r="32" spans="1:21" ht="15" customHeight="1" x14ac:dyDescent="0.25">
      <c r="J32" s="31"/>
      <c r="K32"/>
      <c r="L32"/>
      <c r="M32"/>
      <c r="N32"/>
      <c r="O32"/>
      <c r="P32"/>
      <c r="Q32"/>
      <c r="R32"/>
      <c r="S32"/>
      <c r="T32"/>
      <c r="U32"/>
    </row>
    <row r="33" spans="2:21" ht="15" customHeight="1" x14ac:dyDescent="0.25">
      <c r="J33" s="31"/>
      <c r="K33"/>
      <c r="L33"/>
      <c r="M33"/>
      <c r="N33"/>
      <c r="O33"/>
      <c r="P33"/>
      <c r="Q33"/>
      <c r="R33"/>
      <c r="S33"/>
      <c r="T33"/>
      <c r="U33"/>
    </row>
    <row r="34" spans="2:21" ht="15" customHeight="1" x14ac:dyDescent="0.25">
      <c r="B34" s="21" t="s">
        <v>41</v>
      </c>
      <c r="C34" s="21">
        <v>9</v>
      </c>
      <c r="J34" s="31"/>
      <c r="K34"/>
      <c r="L34"/>
      <c r="M34"/>
      <c r="N34"/>
      <c r="O34"/>
      <c r="P34"/>
      <c r="Q34"/>
      <c r="R34"/>
      <c r="S34"/>
      <c r="T34"/>
      <c r="U34"/>
    </row>
    <row r="35" spans="2:21" ht="15" customHeight="1" x14ac:dyDescent="0.25">
      <c r="B35" s="21" t="s">
        <v>42</v>
      </c>
      <c r="C35" s="21">
        <v>100</v>
      </c>
      <c r="J35" s="31"/>
      <c r="K35"/>
      <c r="L35"/>
      <c r="M35"/>
      <c r="N35"/>
      <c r="O35"/>
      <c r="P35"/>
      <c r="Q35"/>
      <c r="R35"/>
      <c r="S35"/>
      <c r="T35"/>
      <c r="U35"/>
    </row>
    <row r="36" spans="2:21" ht="15" customHeight="1" x14ac:dyDescent="0.25">
      <c r="B36" s="21" t="s">
        <v>43</v>
      </c>
      <c r="C36" s="55">
        <v>53100</v>
      </c>
      <c r="J36" s="31"/>
      <c r="K36"/>
      <c r="L36"/>
      <c r="M36"/>
      <c r="N36"/>
      <c r="O36"/>
      <c r="P36"/>
      <c r="Q36"/>
      <c r="R36"/>
      <c r="S36"/>
      <c r="T36"/>
      <c r="U36"/>
    </row>
    <row r="37" spans="2:21" ht="15" customHeight="1" x14ac:dyDescent="0.25">
      <c r="B37" s="21" t="s">
        <v>44</v>
      </c>
      <c r="C37" s="55">
        <v>73800</v>
      </c>
      <c r="J37" s="31"/>
      <c r="K37"/>
      <c r="L37"/>
      <c r="M37"/>
      <c r="N37"/>
      <c r="O37"/>
      <c r="P37"/>
      <c r="Q37"/>
      <c r="R37"/>
      <c r="S37"/>
      <c r="T37"/>
      <c r="U37"/>
    </row>
    <row r="38" spans="2:21" ht="15" customHeight="1" x14ac:dyDescent="0.25">
      <c r="B38" s="21" t="s">
        <v>45</v>
      </c>
      <c r="C38" s="55">
        <v>90000</v>
      </c>
      <c r="J38" s="31"/>
      <c r="K38"/>
      <c r="L38"/>
      <c r="M38"/>
      <c r="N38"/>
      <c r="O38"/>
      <c r="P38"/>
      <c r="Q38"/>
      <c r="R38"/>
      <c r="S38"/>
      <c r="T38"/>
      <c r="U38"/>
    </row>
    <row r="39" spans="2:21" ht="15" customHeight="1" x14ac:dyDescent="0.25">
      <c r="B39" s="21" t="s">
        <v>46</v>
      </c>
      <c r="C39" s="55">
        <v>14300</v>
      </c>
      <c r="J39" s="31"/>
      <c r="K39"/>
      <c r="L39"/>
      <c r="M39"/>
      <c r="N39"/>
      <c r="O39"/>
      <c r="P39"/>
      <c r="Q39"/>
      <c r="R39"/>
      <c r="S39"/>
      <c r="T39"/>
      <c r="U39"/>
    </row>
    <row r="40" spans="2:21" ht="15" customHeight="1" x14ac:dyDescent="0.25">
      <c r="B40" s="21" t="s">
        <v>47</v>
      </c>
      <c r="C40" s="55">
        <v>8100</v>
      </c>
      <c r="J40" s="31"/>
      <c r="K40"/>
      <c r="L40"/>
      <c r="M40"/>
      <c r="N40"/>
      <c r="O40"/>
      <c r="P40"/>
      <c r="Q40"/>
      <c r="R40"/>
      <c r="S40"/>
      <c r="T40"/>
      <c r="U40"/>
    </row>
    <row r="41" spans="2:21" ht="15" customHeight="1" x14ac:dyDescent="0.25">
      <c r="B41" s="21" t="s">
        <v>48</v>
      </c>
      <c r="C41" s="55">
        <v>2950</v>
      </c>
      <c r="J41" s="31"/>
      <c r="K41"/>
      <c r="L41"/>
      <c r="M41"/>
      <c r="N41"/>
      <c r="O41"/>
      <c r="P41"/>
      <c r="Q41"/>
      <c r="R41"/>
      <c r="S41"/>
      <c r="T41"/>
      <c r="U41"/>
    </row>
    <row r="42" spans="2:21" ht="15" customHeight="1" x14ac:dyDescent="0.25">
      <c r="B42" s="21" t="s">
        <v>49</v>
      </c>
      <c r="C42" s="21">
        <v>56</v>
      </c>
      <c r="J42" s="31"/>
      <c r="K42"/>
      <c r="L42"/>
      <c r="M42"/>
      <c r="N42"/>
      <c r="O42"/>
      <c r="P42"/>
      <c r="Q42"/>
      <c r="R42"/>
      <c r="S42"/>
      <c r="T42"/>
      <c r="U42"/>
    </row>
    <row r="43" spans="2:21" ht="15" customHeight="1" x14ac:dyDescent="0.25">
      <c r="B43" s="21" t="s">
        <v>50</v>
      </c>
      <c r="C43" s="21">
        <v>100</v>
      </c>
      <c r="J43" s="31"/>
      <c r="K43"/>
      <c r="L43"/>
      <c r="M43"/>
      <c r="N43"/>
      <c r="O43"/>
      <c r="P43"/>
      <c r="Q43"/>
      <c r="R43"/>
      <c r="S43"/>
      <c r="T43"/>
      <c r="U43"/>
    </row>
    <row r="44" spans="2:21" ht="15" customHeight="1" x14ac:dyDescent="0.25">
      <c r="B44" s="21" t="s">
        <v>51</v>
      </c>
      <c r="C44" s="21">
        <v>101</v>
      </c>
      <c r="J44" s="31"/>
      <c r="K44"/>
      <c r="L44"/>
      <c r="M44"/>
      <c r="N44"/>
      <c r="O44"/>
      <c r="P44"/>
      <c r="Q44"/>
      <c r="R44"/>
      <c r="S44"/>
      <c r="T44"/>
      <c r="U44"/>
    </row>
    <row r="45" spans="2:21" ht="15" customHeight="1" x14ac:dyDescent="0.25">
      <c r="B45" s="21" t="s">
        <v>52</v>
      </c>
      <c r="C45" s="21">
        <v>150</v>
      </c>
      <c r="J45" s="31"/>
      <c r="K45"/>
      <c r="L45"/>
      <c r="M45"/>
      <c r="N45"/>
      <c r="O45"/>
      <c r="P45"/>
      <c r="Q45"/>
      <c r="R45"/>
      <c r="S45"/>
      <c r="T45"/>
      <c r="U45"/>
    </row>
    <row r="46" spans="2:21" ht="15" customHeight="1" x14ac:dyDescent="0.25">
      <c r="B46" s="31"/>
      <c r="C46" s="31"/>
      <c r="D46" s="31"/>
      <c r="E46" s="31"/>
      <c r="F46" s="31"/>
      <c r="G46" s="31"/>
      <c r="H46" s="31"/>
      <c r="I46" s="31"/>
      <c r="J46" s="31"/>
      <c r="K46"/>
      <c r="L46"/>
      <c r="M46"/>
      <c r="N46"/>
      <c r="O46"/>
      <c r="P46"/>
      <c r="Q46"/>
      <c r="R46"/>
      <c r="S46"/>
      <c r="T46"/>
      <c r="U46"/>
    </row>
    <row r="47" spans="2:21" ht="15" customHeight="1" x14ac:dyDescent="0.25">
      <c r="B47" s="31"/>
      <c r="C47" s="31"/>
      <c r="D47" s="31"/>
      <c r="E47" s="31"/>
      <c r="F47" s="31"/>
      <c r="G47" s="31"/>
      <c r="H47" s="31"/>
      <c r="I47" s="31"/>
      <c r="J47" s="31"/>
      <c r="K47"/>
      <c r="L47"/>
      <c r="M47"/>
      <c r="N47"/>
      <c r="O47"/>
      <c r="P47"/>
      <c r="Q47"/>
      <c r="R47"/>
      <c r="S47"/>
      <c r="T47"/>
      <c r="U47"/>
    </row>
    <row r="48" spans="2:21" ht="15" customHeight="1" x14ac:dyDescent="0.25">
      <c r="B48" s="31"/>
      <c r="C48" s="31"/>
      <c r="D48" s="31"/>
      <c r="E48" s="31"/>
      <c r="F48" s="31"/>
      <c r="G48" s="31"/>
      <c r="H48" s="31"/>
      <c r="I48" s="31"/>
      <c r="J48" s="31"/>
      <c r="K48"/>
      <c r="L48"/>
      <c r="M48"/>
      <c r="N48"/>
      <c r="O48"/>
      <c r="P48"/>
      <c r="Q48"/>
      <c r="R48"/>
      <c r="S48"/>
      <c r="T48"/>
      <c r="U48"/>
    </row>
    <row r="49" spans="2:21" ht="15" customHeight="1" x14ac:dyDescent="0.25">
      <c r="B49" s="31"/>
      <c r="C49" s="31"/>
      <c r="D49" s="31"/>
      <c r="E49" s="31"/>
      <c r="F49" s="31"/>
      <c r="G49" s="31"/>
      <c r="H49" s="31"/>
      <c r="I49" s="31"/>
      <c r="J49" s="31"/>
      <c r="K49"/>
      <c r="L49"/>
      <c r="M49"/>
      <c r="N49"/>
      <c r="O49"/>
      <c r="P49"/>
      <c r="Q49"/>
      <c r="R49"/>
      <c r="S49"/>
      <c r="T49"/>
      <c r="U49"/>
    </row>
    <row r="50" spans="2:21" ht="15" customHeight="1" x14ac:dyDescent="0.25">
      <c r="B50" s="31"/>
      <c r="C50" s="31"/>
      <c r="D50" s="31"/>
      <c r="E50" s="31"/>
      <c r="F50" s="31"/>
      <c r="G50" s="31"/>
      <c r="H50" s="31"/>
      <c r="I50" s="31"/>
      <c r="J50" s="31"/>
      <c r="K50"/>
      <c r="L50"/>
      <c r="M50"/>
      <c r="N50"/>
      <c r="O50"/>
      <c r="P50"/>
      <c r="Q50"/>
      <c r="R50"/>
      <c r="S50"/>
      <c r="T50"/>
      <c r="U50"/>
    </row>
    <row r="51" spans="2:21" ht="15" customHeight="1" x14ac:dyDescent="0.25">
      <c r="B51" s="31"/>
      <c r="C51" s="31"/>
      <c r="D51" s="31"/>
      <c r="E51" s="31"/>
      <c r="F51" s="31"/>
      <c r="G51" s="31"/>
      <c r="H51" s="31"/>
      <c r="I51" s="31"/>
      <c r="J51" s="31"/>
      <c r="K51"/>
      <c r="L51"/>
      <c r="M51"/>
      <c r="N51"/>
      <c r="O51"/>
      <c r="P51"/>
      <c r="Q51"/>
      <c r="R51"/>
      <c r="S51"/>
      <c r="T51"/>
      <c r="U51"/>
    </row>
    <row r="52" spans="2:21" ht="15" customHeight="1" x14ac:dyDescent="0.25">
      <c r="B52" s="31"/>
      <c r="C52" s="31"/>
      <c r="D52" s="31"/>
      <c r="E52" s="31"/>
      <c r="F52" s="31"/>
      <c r="G52" s="31"/>
      <c r="H52" s="31"/>
      <c r="I52" s="31"/>
      <c r="J52" s="31"/>
      <c r="K52"/>
      <c r="L52"/>
      <c r="M52"/>
      <c r="N52"/>
      <c r="O52"/>
      <c r="P52"/>
      <c r="Q52"/>
      <c r="R52"/>
      <c r="S52"/>
      <c r="T52"/>
      <c r="U52"/>
    </row>
    <row r="53" spans="2:21" ht="15" customHeight="1" x14ac:dyDescent="0.25">
      <c r="B53" s="31"/>
      <c r="C53" s="31"/>
      <c r="D53" s="31"/>
      <c r="E53" s="31"/>
      <c r="F53" s="31"/>
      <c r="G53" s="31"/>
      <c r="H53" s="31"/>
      <c r="I53" s="31"/>
      <c r="J53" s="31"/>
      <c r="K53"/>
      <c r="L53"/>
      <c r="M53"/>
      <c r="N53"/>
      <c r="O53"/>
      <c r="P53"/>
      <c r="Q53"/>
      <c r="R53"/>
      <c r="S53"/>
      <c r="T53"/>
      <c r="U53"/>
    </row>
    <row r="54" spans="2:21" ht="15" customHeight="1" x14ac:dyDescent="0.25">
      <c r="B54" s="31"/>
      <c r="C54" s="31"/>
      <c r="D54" s="31"/>
      <c r="E54" s="31"/>
      <c r="F54" s="31"/>
      <c r="G54" s="31"/>
      <c r="H54" s="31"/>
      <c r="I54" s="31"/>
      <c r="J54" s="31"/>
      <c r="K54"/>
      <c r="L54"/>
      <c r="M54"/>
      <c r="N54"/>
      <c r="O54"/>
      <c r="P54"/>
      <c r="Q54"/>
      <c r="R54"/>
      <c r="S54"/>
      <c r="T54"/>
      <c r="U54"/>
    </row>
    <row r="55" spans="2:21" ht="15" customHeight="1" x14ac:dyDescent="0.25">
      <c r="B55" s="31"/>
      <c r="C55" s="31"/>
      <c r="D55" s="31"/>
      <c r="E55" s="31"/>
      <c r="F55" s="31"/>
      <c r="G55" s="31"/>
      <c r="H55" s="31"/>
      <c r="I55" s="31"/>
      <c r="J55" s="31"/>
      <c r="K55"/>
      <c r="L55"/>
      <c r="M55"/>
      <c r="N55"/>
      <c r="O55"/>
      <c r="P55"/>
      <c r="Q55"/>
      <c r="R55"/>
      <c r="S55"/>
      <c r="T55"/>
      <c r="U55"/>
    </row>
    <row r="56" spans="2:21" ht="15" customHeight="1" x14ac:dyDescent="0.25">
      <c r="B56" s="31"/>
      <c r="C56" s="31"/>
      <c r="D56" s="31"/>
      <c r="E56" s="31"/>
      <c r="F56" s="31"/>
      <c r="G56" s="31"/>
      <c r="H56" s="31"/>
      <c r="I56" s="31"/>
      <c r="J56" s="31"/>
      <c r="K56"/>
      <c r="L56"/>
      <c r="M56"/>
      <c r="N56"/>
      <c r="O56"/>
      <c r="P56"/>
      <c r="Q56"/>
      <c r="R56"/>
      <c r="S56"/>
      <c r="T56"/>
      <c r="U56"/>
    </row>
    <row r="57" spans="2:21" ht="15" customHeight="1" x14ac:dyDescent="0.25">
      <c r="B57" s="31"/>
      <c r="C57" s="31"/>
      <c r="D57" s="31"/>
      <c r="E57" s="31"/>
      <c r="F57" s="31"/>
      <c r="G57" s="31"/>
      <c r="H57" s="31"/>
      <c r="I57" s="31"/>
      <c r="J57" s="31"/>
      <c r="K57"/>
      <c r="L57"/>
      <c r="M57"/>
      <c r="N57"/>
      <c r="O57"/>
      <c r="P57"/>
      <c r="Q57"/>
      <c r="R57"/>
      <c r="S57"/>
      <c r="T57"/>
      <c r="U57"/>
    </row>
    <row r="58" spans="2:21" ht="15" customHeight="1" x14ac:dyDescent="0.25">
      <c r="B58" s="31"/>
      <c r="C58" s="31"/>
      <c r="D58" s="31"/>
      <c r="E58" s="31"/>
      <c r="F58" s="31"/>
      <c r="G58" s="31"/>
      <c r="H58" s="31"/>
      <c r="I58" s="31"/>
      <c r="J58" s="31"/>
      <c r="K58"/>
      <c r="L58"/>
      <c r="M58"/>
      <c r="N58"/>
      <c r="O58"/>
      <c r="P58"/>
      <c r="Q58"/>
      <c r="R58"/>
      <c r="S58"/>
      <c r="T58"/>
      <c r="U58"/>
    </row>
    <row r="59" spans="2:21" ht="15" customHeight="1" x14ac:dyDescent="0.25">
      <c r="B59" s="31"/>
      <c r="C59" s="31"/>
      <c r="D59" s="31"/>
      <c r="E59" s="31"/>
      <c r="F59" s="31"/>
      <c r="G59" s="31"/>
      <c r="H59" s="31"/>
      <c r="I59" s="31"/>
      <c r="J59" s="31"/>
      <c r="K59"/>
      <c r="L59"/>
      <c r="M59"/>
      <c r="N59"/>
      <c r="O59"/>
      <c r="P59"/>
      <c r="Q59"/>
      <c r="R59"/>
      <c r="S59"/>
      <c r="T59"/>
      <c r="U59"/>
    </row>
    <row r="60" spans="2:21" ht="15" customHeight="1" x14ac:dyDescent="0.25">
      <c r="B60" s="31"/>
      <c r="C60" s="31"/>
      <c r="D60" s="31"/>
      <c r="E60" s="31"/>
      <c r="F60" s="31"/>
      <c r="G60" s="31"/>
      <c r="H60" s="31"/>
      <c r="I60" s="31"/>
      <c r="J60" s="31"/>
      <c r="K60"/>
      <c r="L60"/>
      <c r="M60"/>
      <c r="N60"/>
      <c r="O60"/>
      <c r="P60"/>
      <c r="Q60"/>
      <c r="R60"/>
      <c r="S60"/>
      <c r="T60"/>
      <c r="U60"/>
    </row>
    <row r="61" spans="2:21" ht="15" customHeight="1" x14ac:dyDescent="0.25">
      <c r="B61" s="31"/>
      <c r="C61" s="31"/>
      <c r="D61" s="31"/>
      <c r="E61" s="31"/>
      <c r="F61" s="31"/>
      <c r="G61" s="31"/>
      <c r="H61" s="31"/>
      <c r="I61" s="31"/>
      <c r="J61" s="31"/>
      <c r="K61"/>
      <c r="L61"/>
      <c r="M61"/>
      <c r="N61"/>
      <c r="O61"/>
      <c r="P61"/>
      <c r="Q61"/>
      <c r="R61"/>
      <c r="S61"/>
      <c r="T61"/>
      <c r="U61"/>
    </row>
    <row r="62" spans="2:21" ht="15" customHeight="1" x14ac:dyDescent="0.25">
      <c r="B62" s="31"/>
      <c r="C62" s="31"/>
      <c r="D62" s="31"/>
      <c r="E62" s="31"/>
      <c r="F62" s="31"/>
      <c r="G62" s="31"/>
      <c r="H62" s="31"/>
      <c r="I62" s="31"/>
      <c r="J62" s="31"/>
      <c r="K62"/>
      <c r="L62"/>
      <c r="M62"/>
      <c r="N62"/>
      <c r="O62"/>
      <c r="P62"/>
      <c r="Q62"/>
      <c r="R62"/>
      <c r="S62"/>
      <c r="T62"/>
      <c r="U62"/>
    </row>
    <row r="63" spans="2:21" ht="15" customHeight="1" x14ac:dyDescent="0.25">
      <c r="B63" s="31"/>
      <c r="C63" s="31"/>
      <c r="D63" s="31"/>
      <c r="E63" s="31"/>
      <c r="F63" s="31"/>
      <c r="G63" s="31"/>
      <c r="H63" s="31"/>
      <c r="I63" s="31"/>
      <c r="J63" s="31"/>
      <c r="K63"/>
      <c r="L63"/>
      <c r="M63"/>
      <c r="N63"/>
      <c r="O63"/>
      <c r="P63"/>
      <c r="Q63"/>
      <c r="R63"/>
      <c r="S63"/>
      <c r="T63"/>
      <c r="U63"/>
    </row>
    <row r="64" spans="2:21" ht="15" customHeight="1" x14ac:dyDescent="0.25">
      <c r="B64" s="31"/>
      <c r="C64" s="31"/>
      <c r="D64" s="31"/>
      <c r="E64" s="31"/>
      <c r="F64" s="31"/>
      <c r="G64" s="31"/>
      <c r="H64" s="31"/>
      <c r="I64" s="31"/>
      <c r="J64" s="31"/>
      <c r="K64"/>
      <c r="L64"/>
      <c r="M64"/>
      <c r="N64"/>
      <c r="O64"/>
      <c r="P64"/>
      <c r="Q64"/>
      <c r="R64"/>
      <c r="S64"/>
      <c r="T64"/>
      <c r="U64"/>
    </row>
    <row r="65" spans="2:21" ht="15" customHeight="1" x14ac:dyDescent="0.25">
      <c r="B65" s="31"/>
      <c r="C65" s="31"/>
      <c r="D65" s="31"/>
      <c r="E65" s="31"/>
      <c r="F65" s="31"/>
      <c r="G65" s="31"/>
      <c r="H65" s="31"/>
      <c r="I65" s="31"/>
      <c r="J65" s="31"/>
      <c r="K65"/>
      <c r="L65"/>
      <c r="M65"/>
      <c r="N65"/>
      <c r="O65"/>
      <c r="P65"/>
      <c r="Q65"/>
      <c r="R65"/>
      <c r="S65"/>
      <c r="T65"/>
      <c r="U65"/>
    </row>
    <row r="66" spans="2:21" ht="15" customHeight="1" x14ac:dyDescent="0.25">
      <c r="B66" s="31"/>
      <c r="C66" s="31"/>
      <c r="D66" s="31"/>
      <c r="E66" s="31"/>
      <c r="F66" s="31"/>
      <c r="G66" s="31"/>
      <c r="H66" s="31"/>
      <c r="I66" s="31"/>
      <c r="J66" s="31"/>
      <c r="K66"/>
      <c r="L66"/>
      <c r="M66"/>
      <c r="N66"/>
      <c r="O66"/>
      <c r="P66"/>
      <c r="Q66"/>
      <c r="R66"/>
      <c r="S66"/>
      <c r="T66"/>
      <c r="U66"/>
    </row>
    <row r="67" spans="2:21" ht="15" customHeight="1" x14ac:dyDescent="0.25">
      <c r="B67" s="31"/>
      <c r="C67" s="31"/>
      <c r="D67" s="31"/>
      <c r="E67" s="31"/>
      <c r="F67" s="31"/>
      <c r="G67" s="31"/>
      <c r="H67" s="31"/>
      <c r="I67" s="31"/>
      <c r="J67" s="31"/>
      <c r="K67"/>
      <c r="L67"/>
      <c r="M67"/>
      <c r="N67"/>
      <c r="O67"/>
      <c r="P67"/>
      <c r="Q67"/>
      <c r="R67"/>
      <c r="S67"/>
      <c r="T67"/>
      <c r="U67"/>
    </row>
    <row r="68" spans="2:21" ht="15" customHeight="1" x14ac:dyDescent="0.25">
      <c r="B68" s="31"/>
      <c r="C68" s="31"/>
      <c r="D68" s="31"/>
      <c r="E68" s="31"/>
      <c r="F68" s="31"/>
      <c r="G68" s="31"/>
      <c r="H68" s="31"/>
      <c r="I68" s="31"/>
      <c r="J68" s="31"/>
      <c r="K68"/>
      <c r="L68"/>
      <c r="M68"/>
      <c r="N68"/>
      <c r="O68"/>
      <c r="P68"/>
      <c r="Q68"/>
      <c r="R68"/>
      <c r="S68"/>
      <c r="T68"/>
      <c r="U68"/>
    </row>
    <row r="69" spans="2:21" ht="15" customHeight="1" x14ac:dyDescent="0.25">
      <c r="B69" s="31"/>
      <c r="C69" s="31"/>
      <c r="D69" s="31"/>
      <c r="E69" s="31"/>
      <c r="F69" s="31"/>
      <c r="G69" s="31"/>
      <c r="H69" s="31"/>
      <c r="I69" s="31"/>
      <c r="J69" s="31"/>
      <c r="K69"/>
      <c r="L69"/>
      <c r="M69"/>
      <c r="N69"/>
      <c r="O69"/>
      <c r="P69"/>
      <c r="Q69"/>
      <c r="R69"/>
      <c r="S69"/>
      <c r="T69"/>
      <c r="U69"/>
    </row>
    <row r="70" spans="2:21" ht="15" customHeight="1" x14ac:dyDescent="0.25">
      <c r="B70" s="31"/>
      <c r="C70" s="31"/>
      <c r="D70" s="31"/>
      <c r="E70" s="31"/>
      <c r="F70" s="31"/>
      <c r="G70" s="31"/>
      <c r="H70" s="31"/>
      <c r="I70" s="31"/>
      <c r="J70" s="31"/>
      <c r="K70"/>
      <c r="L70"/>
      <c r="M70"/>
      <c r="N70"/>
      <c r="O70"/>
      <c r="P70"/>
      <c r="Q70"/>
      <c r="R70"/>
      <c r="S70"/>
      <c r="T70"/>
      <c r="U70"/>
    </row>
    <row r="71" spans="2:21" ht="15" customHeight="1" x14ac:dyDescent="0.25">
      <c r="B71" s="31"/>
      <c r="C71" s="31"/>
      <c r="D71" s="31"/>
      <c r="E71" s="31"/>
      <c r="F71" s="31"/>
      <c r="G71" s="31"/>
      <c r="H71" s="31"/>
      <c r="I71" s="31"/>
      <c r="J71" s="31"/>
      <c r="K71"/>
      <c r="L71"/>
      <c r="M71"/>
      <c r="N71"/>
      <c r="O71"/>
      <c r="P71"/>
      <c r="Q71"/>
      <c r="R71"/>
      <c r="S71"/>
      <c r="T71"/>
      <c r="U71"/>
    </row>
    <row r="72" spans="2:21" ht="15" customHeight="1" x14ac:dyDescent="0.25">
      <c r="B72" s="31"/>
      <c r="C72" s="31"/>
      <c r="D72" s="31"/>
      <c r="E72" s="31"/>
      <c r="F72" s="31"/>
      <c r="G72" s="31"/>
      <c r="H72" s="31"/>
      <c r="I72" s="31"/>
      <c r="J72" s="31"/>
      <c r="K72"/>
      <c r="L72"/>
      <c r="M72"/>
      <c r="N72"/>
      <c r="O72"/>
      <c r="P72"/>
      <c r="Q72"/>
      <c r="R72"/>
      <c r="S72"/>
      <c r="T72"/>
      <c r="U72"/>
    </row>
    <row r="73" spans="2:21" ht="15" customHeight="1" x14ac:dyDescent="0.25">
      <c r="B73" s="31"/>
      <c r="C73" s="31"/>
      <c r="D73" s="31"/>
      <c r="E73" s="31"/>
      <c r="F73" s="31"/>
      <c r="G73" s="31"/>
      <c r="H73" s="31"/>
      <c r="I73" s="31"/>
      <c r="J73" s="31"/>
      <c r="K73"/>
      <c r="L73"/>
      <c r="M73"/>
      <c r="N73"/>
      <c r="O73"/>
      <c r="P73"/>
      <c r="Q73"/>
      <c r="R73"/>
      <c r="S73"/>
      <c r="T73"/>
      <c r="U73"/>
    </row>
    <row r="74" spans="2:21" ht="15" customHeight="1" x14ac:dyDescent="0.25">
      <c r="B74" s="31"/>
      <c r="C74" s="31"/>
      <c r="D74" s="31"/>
      <c r="E74" s="31"/>
      <c r="F74" s="31"/>
      <c r="G74" s="31"/>
      <c r="H74" s="31"/>
      <c r="I74" s="31"/>
      <c r="J74" s="31"/>
      <c r="K74"/>
      <c r="L74"/>
      <c r="M74"/>
      <c r="N74"/>
      <c r="O74"/>
      <c r="P74"/>
      <c r="Q74"/>
      <c r="R74"/>
      <c r="S74"/>
      <c r="T74"/>
      <c r="U74"/>
    </row>
    <row r="75" spans="2:21" ht="15" customHeight="1" x14ac:dyDescent="0.25">
      <c r="B75" s="31"/>
      <c r="C75" s="31"/>
      <c r="D75" s="31"/>
      <c r="E75" s="31"/>
      <c r="F75" s="31"/>
      <c r="G75" s="31"/>
      <c r="H75" s="31"/>
      <c r="I75" s="31"/>
      <c r="J75" s="31"/>
      <c r="K75"/>
      <c r="L75"/>
      <c r="M75"/>
      <c r="N75"/>
      <c r="O75"/>
      <c r="P75"/>
      <c r="Q75"/>
      <c r="R75"/>
      <c r="S75"/>
      <c r="T75"/>
      <c r="U75"/>
    </row>
    <row r="76" spans="2:21" ht="15" customHeight="1" x14ac:dyDescent="0.25">
      <c r="B76" s="31"/>
      <c r="C76" s="31"/>
      <c r="D76" s="31"/>
      <c r="E76" s="31"/>
      <c r="F76" s="31"/>
      <c r="G76" s="31"/>
      <c r="H76" s="31"/>
      <c r="I76" s="31"/>
      <c r="J76" s="31"/>
      <c r="K76"/>
      <c r="L76"/>
      <c r="M76"/>
      <c r="N76"/>
      <c r="O76"/>
      <c r="P76"/>
      <c r="Q76"/>
      <c r="R76"/>
      <c r="S76"/>
      <c r="T76"/>
      <c r="U76"/>
    </row>
    <row r="77" spans="2:21" ht="15" customHeight="1" x14ac:dyDescent="0.25">
      <c r="B77" s="31"/>
      <c r="C77" s="31"/>
      <c r="D77" s="31"/>
      <c r="E77" s="31"/>
      <c r="F77" s="31"/>
      <c r="G77" s="31"/>
      <c r="H77" s="31"/>
      <c r="I77" s="31"/>
      <c r="J77" s="31"/>
      <c r="K77"/>
      <c r="L77"/>
      <c r="M77"/>
      <c r="N77"/>
      <c r="O77"/>
      <c r="P77"/>
      <c r="Q77"/>
      <c r="R77"/>
      <c r="S77"/>
      <c r="T77"/>
      <c r="U77"/>
    </row>
    <row r="78" spans="2:21" ht="15" customHeight="1" x14ac:dyDescent="0.25">
      <c r="B78" s="31"/>
      <c r="C78" s="31"/>
      <c r="D78" s="31"/>
      <c r="E78" s="31"/>
      <c r="F78" s="31"/>
      <c r="G78" s="31"/>
      <c r="H78" s="31"/>
      <c r="I78" s="31"/>
      <c r="J78" s="31"/>
      <c r="K78"/>
      <c r="L78"/>
      <c r="M78"/>
      <c r="N78"/>
      <c r="O78"/>
      <c r="P78"/>
      <c r="Q78"/>
      <c r="R78"/>
      <c r="S78"/>
      <c r="T78"/>
      <c r="U78"/>
    </row>
    <row r="79" spans="2:21" ht="15" customHeight="1" x14ac:dyDescent="0.25">
      <c r="B79" s="31"/>
      <c r="C79" s="31"/>
      <c r="D79" s="31"/>
      <c r="E79" s="31"/>
      <c r="F79" s="31"/>
      <c r="G79" s="31"/>
      <c r="H79" s="31"/>
      <c r="I79" s="31"/>
      <c r="J79" s="31"/>
      <c r="K79"/>
      <c r="L79"/>
      <c r="M79"/>
      <c r="N79"/>
      <c r="O79"/>
      <c r="P79"/>
      <c r="Q79"/>
      <c r="R79"/>
      <c r="S79"/>
      <c r="T79"/>
      <c r="U79"/>
    </row>
    <row r="80" spans="2:21" ht="15" customHeight="1" x14ac:dyDescent="0.25">
      <c r="B80" s="31"/>
      <c r="C80" s="31"/>
      <c r="D80" s="31"/>
      <c r="E80" s="31"/>
      <c r="F80" s="31"/>
      <c r="G80" s="31"/>
      <c r="H80" s="31"/>
      <c r="I80" s="31"/>
      <c r="J80" s="31"/>
      <c r="K80"/>
      <c r="L80"/>
      <c r="M80"/>
      <c r="N80"/>
      <c r="O80"/>
      <c r="P80"/>
      <c r="Q80"/>
      <c r="R80"/>
      <c r="S80"/>
      <c r="T80"/>
      <c r="U80"/>
    </row>
    <row r="81" spans="2:21" ht="15" customHeight="1" x14ac:dyDescent="0.25">
      <c r="B81" s="31"/>
      <c r="C81" s="31"/>
      <c r="D81" s="31"/>
      <c r="E81" s="31"/>
      <c r="F81" s="31"/>
      <c r="G81" s="31"/>
      <c r="H81" s="31"/>
      <c r="I81" s="31"/>
      <c r="J81" s="31"/>
      <c r="K81"/>
      <c r="L81"/>
      <c r="M81"/>
      <c r="N81"/>
      <c r="O81"/>
      <c r="P81"/>
      <c r="Q81"/>
      <c r="R81"/>
      <c r="S81"/>
      <c r="T81"/>
      <c r="U81"/>
    </row>
    <row r="82" spans="2:21" ht="15" customHeight="1" x14ac:dyDescent="0.25">
      <c r="B82" s="31"/>
      <c r="C82" s="31"/>
      <c r="D82" s="31"/>
      <c r="E82" s="31"/>
      <c r="F82" s="31"/>
      <c r="G82" s="31"/>
      <c r="H82" s="31"/>
      <c r="I82" s="31"/>
      <c r="J82" s="31"/>
      <c r="K82"/>
      <c r="L82"/>
      <c r="M82"/>
      <c r="N82"/>
      <c r="O82"/>
      <c r="P82"/>
      <c r="Q82"/>
      <c r="R82"/>
      <c r="S82"/>
      <c r="T82"/>
      <c r="U82"/>
    </row>
    <row r="83" spans="2:21" ht="15" customHeight="1" x14ac:dyDescent="0.25">
      <c r="B83" s="31"/>
      <c r="C83" s="31"/>
      <c r="D83" s="31"/>
      <c r="E83" s="31"/>
      <c r="F83" s="31"/>
      <c r="G83" s="31"/>
      <c r="H83" s="31"/>
      <c r="I83" s="31"/>
      <c r="J83" s="31"/>
      <c r="K83"/>
      <c r="L83"/>
      <c r="M83"/>
      <c r="N83"/>
      <c r="O83"/>
      <c r="P83"/>
      <c r="Q83"/>
      <c r="R83"/>
      <c r="S83"/>
      <c r="T83"/>
      <c r="U83"/>
    </row>
    <row r="84" spans="2:21" ht="15" customHeight="1" x14ac:dyDescent="0.25">
      <c r="B84" s="31"/>
      <c r="C84" s="31"/>
      <c r="D84" s="31"/>
      <c r="E84" s="31"/>
      <c r="F84" s="31"/>
      <c r="G84" s="31"/>
      <c r="H84" s="31"/>
      <c r="I84" s="31"/>
      <c r="J84" s="31"/>
      <c r="K84"/>
      <c r="L84"/>
      <c r="M84"/>
      <c r="N84"/>
      <c r="O84"/>
      <c r="P84"/>
      <c r="Q84"/>
      <c r="R84"/>
      <c r="S84"/>
      <c r="T84"/>
      <c r="U84"/>
    </row>
    <row r="85" spans="2:21" ht="15" customHeight="1" x14ac:dyDescent="0.25">
      <c r="B85" s="31"/>
      <c r="C85" s="31"/>
      <c r="D85" s="31"/>
      <c r="E85" s="31"/>
      <c r="F85" s="31"/>
      <c r="G85" s="31"/>
      <c r="H85" s="31"/>
      <c r="I85" s="31"/>
      <c r="J85" s="31"/>
      <c r="K85"/>
      <c r="L85"/>
      <c r="M85"/>
      <c r="N85"/>
      <c r="O85"/>
      <c r="P85"/>
      <c r="Q85"/>
      <c r="R85"/>
      <c r="S85"/>
      <c r="T85"/>
      <c r="U85"/>
    </row>
    <row r="86" spans="2:21" ht="15" customHeight="1" x14ac:dyDescent="0.25">
      <c r="B86" s="31"/>
      <c r="C86" s="31"/>
      <c r="D86" s="31"/>
      <c r="E86" s="31"/>
      <c r="F86" s="31"/>
      <c r="G86" s="31"/>
      <c r="H86" s="31"/>
      <c r="I86" s="31"/>
      <c r="J86" s="31"/>
      <c r="K86"/>
      <c r="L86"/>
      <c r="M86"/>
      <c r="N86"/>
      <c r="O86"/>
      <c r="P86"/>
      <c r="Q86"/>
      <c r="R86"/>
      <c r="S86"/>
      <c r="T86"/>
      <c r="U86"/>
    </row>
    <row r="87" spans="2:21" ht="15" customHeight="1" x14ac:dyDescent="0.25">
      <c r="B87" s="31"/>
      <c r="C87" s="31"/>
      <c r="D87" s="31"/>
      <c r="E87" s="31"/>
      <c r="F87" s="31"/>
      <c r="G87" s="31"/>
      <c r="H87" s="31"/>
      <c r="I87" s="31"/>
      <c r="J87" s="31"/>
      <c r="K87"/>
      <c r="L87"/>
      <c r="M87"/>
      <c r="N87"/>
      <c r="O87"/>
      <c r="P87"/>
      <c r="Q87"/>
      <c r="R87"/>
      <c r="S87"/>
      <c r="T87"/>
      <c r="U87"/>
    </row>
    <row r="88" spans="2:21" ht="15" customHeight="1" x14ac:dyDescent="0.25">
      <c r="B88" s="31"/>
      <c r="C88" s="31"/>
      <c r="D88" s="31"/>
      <c r="E88" s="31"/>
      <c r="F88" s="31"/>
      <c r="G88" s="31"/>
      <c r="H88" s="31"/>
      <c r="I88" s="31"/>
      <c r="J88" s="31"/>
      <c r="K88"/>
      <c r="L88"/>
      <c r="M88"/>
      <c r="N88"/>
      <c r="O88"/>
      <c r="P88"/>
      <c r="Q88"/>
      <c r="R88"/>
      <c r="S88"/>
      <c r="T88"/>
      <c r="U88"/>
    </row>
    <row r="89" spans="2:21" ht="15" customHeight="1" x14ac:dyDescent="0.25">
      <c r="B89" s="31"/>
      <c r="C89" s="31"/>
      <c r="D89" s="31"/>
      <c r="E89" s="31"/>
      <c r="F89" s="31"/>
      <c r="G89" s="31"/>
      <c r="H89" s="31"/>
      <c r="I89" s="31"/>
      <c r="J89" s="31"/>
      <c r="K89"/>
      <c r="L89"/>
      <c r="M89"/>
      <c r="N89"/>
      <c r="O89"/>
      <c r="P89"/>
      <c r="Q89"/>
      <c r="R89"/>
      <c r="S89"/>
      <c r="T89"/>
      <c r="U89"/>
    </row>
    <row r="90" spans="2:21" ht="15" customHeight="1" x14ac:dyDescent="0.25">
      <c r="B90" s="31"/>
      <c r="C90" s="31"/>
      <c r="D90" s="31"/>
      <c r="E90" s="31"/>
      <c r="F90" s="31"/>
      <c r="G90" s="31"/>
      <c r="H90" s="31"/>
      <c r="I90" s="31"/>
      <c r="J90" s="31"/>
      <c r="K90"/>
      <c r="L90"/>
      <c r="M90"/>
      <c r="N90"/>
      <c r="O90"/>
      <c r="P90"/>
      <c r="Q90"/>
      <c r="R90"/>
      <c r="S90"/>
      <c r="T90"/>
      <c r="U90"/>
    </row>
    <row r="91" spans="2:21" ht="15" customHeight="1" x14ac:dyDescent="0.25">
      <c r="B91" s="31"/>
      <c r="C91" s="31"/>
      <c r="D91" s="31"/>
      <c r="E91" s="31"/>
      <c r="F91" s="31"/>
      <c r="G91" s="31"/>
      <c r="H91" s="31"/>
      <c r="I91" s="31"/>
      <c r="J91" s="31"/>
      <c r="K91"/>
      <c r="L91"/>
      <c r="M91"/>
      <c r="N91"/>
      <c r="O91"/>
      <c r="P91"/>
      <c r="Q91"/>
      <c r="R91"/>
      <c r="S91"/>
      <c r="T91"/>
      <c r="U91"/>
    </row>
    <row r="92" spans="2:21" ht="15" customHeight="1" x14ac:dyDescent="0.25">
      <c r="B92" s="31"/>
      <c r="C92" s="31"/>
      <c r="D92" s="31"/>
      <c r="E92" s="31"/>
      <c r="F92" s="31"/>
      <c r="G92" s="31"/>
      <c r="H92" s="31"/>
      <c r="I92" s="31"/>
      <c r="J92" s="31"/>
      <c r="K92"/>
      <c r="L92"/>
      <c r="M92"/>
      <c r="N92"/>
      <c r="O92"/>
      <c r="P92"/>
      <c r="Q92"/>
      <c r="R92"/>
      <c r="S92"/>
      <c r="T92"/>
      <c r="U92"/>
    </row>
    <row r="93" spans="2:21" ht="15" customHeight="1" x14ac:dyDescent="0.25">
      <c r="B93" s="31"/>
      <c r="C93" s="31"/>
      <c r="D93" s="31"/>
      <c r="E93" s="31"/>
      <c r="F93" s="31"/>
      <c r="G93" s="31"/>
      <c r="H93" s="31"/>
      <c r="I93" s="31"/>
      <c r="J93" s="31"/>
      <c r="K93"/>
      <c r="L93"/>
      <c r="M93"/>
      <c r="N93"/>
      <c r="O93"/>
      <c r="P93"/>
      <c r="Q93"/>
      <c r="R93"/>
      <c r="S93"/>
      <c r="T93"/>
      <c r="U93"/>
    </row>
    <row r="94" spans="2:21" ht="15" customHeight="1" x14ac:dyDescent="0.25">
      <c r="B94" s="31"/>
      <c r="C94" s="31"/>
      <c r="D94" s="31"/>
      <c r="E94" s="31"/>
      <c r="F94" s="31"/>
      <c r="G94" s="31"/>
      <c r="H94" s="31"/>
      <c r="I94" s="31"/>
      <c r="J94" s="31"/>
      <c r="K94"/>
      <c r="L94"/>
      <c r="M94"/>
      <c r="N94"/>
      <c r="O94"/>
      <c r="P94"/>
      <c r="Q94"/>
      <c r="R94"/>
      <c r="S94"/>
      <c r="T94"/>
      <c r="U94"/>
    </row>
    <row r="95" spans="2:21" ht="15" customHeight="1" x14ac:dyDescent="0.25">
      <c r="B95" s="31"/>
      <c r="C95" s="31"/>
      <c r="D95" s="31"/>
      <c r="E95" s="31"/>
      <c r="F95" s="31"/>
      <c r="G95" s="31"/>
      <c r="H95" s="31"/>
      <c r="I95" s="31"/>
      <c r="J95" s="31"/>
      <c r="K95"/>
      <c r="L95"/>
      <c r="M95"/>
      <c r="N95"/>
      <c r="O95"/>
      <c r="P95"/>
      <c r="Q95"/>
      <c r="R95"/>
      <c r="S95"/>
      <c r="T95"/>
      <c r="U95"/>
    </row>
    <row r="96" spans="2:21" ht="15" customHeight="1" x14ac:dyDescent="0.25">
      <c r="B96" s="31"/>
      <c r="C96" s="31"/>
      <c r="D96" s="31"/>
      <c r="E96" s="31"/>
      <c r="F96" s="31"/>
      <c r="G96" s="31"/>
      <c r="H96" s="31"/>
      <c r="I96" s="31"/>
      <c r="J96" s="31"/>
      <c r="K96"/>
      <c r="L96"/>
      <c r="M96"/>
      <c r="N96"/>
      <c r="O96"/>
      <c r="P96"/>
      <c r="Q96"/>
      <c r="R96"/>
      <c r="S96"/>
      <c r="T96"/>
      <c r="U96"/>
    </row>
    <row r="97" spans="2:21" ht="15" customHeight="1" x14ac:dyDescent="0.25">
      <c r="B97" s="31"/>
      <c r="C97" s="31"/>
      <c r="D97" s="31"/>
      <c r="E97" s="31"/>
      <c r="F97" s="31"/>
      <c r="G97" s="31"/>
      <c r="H97" s="31"/>
      <c r="I97" s="31"/>
      <c r="J97" s="31"/>
      <c r="K97"/>
      <c r="L97"/>
      <c r="M97"/>
      <c r="N97"/>
      <c r="O97"/>
      <c r="P97"/>
      <c r="Q97"/>
      <c r="R97"/>
      <c r="S97"/>
      <c r="T97"/>
      <c r="U97"/>
    </row>
    <row r="98" spans="2:21" ht="15" customHeight="1" x14ac:dyDescent="0.25">
      <c r="B98" s="31"/>
      <c r="C98" s="31"/>
      <c r="D98" s="31"/>
      <c r="E98" s="31"/>
      <c r="F98" s="31"/>
      <c r="G98" s="31"/>
      <c r="H98" s="31"/>
      <c r="I98" s="31"/>
      <c r="J98" s="31"/>
      <c r="K98"/>
      <c r="L98"/>
      <c r="M98"/>
      <c r="N98"/>
      <c r="O98"/>
      <c r="P98"/>
      <c r="Q98"/>
      <c r="R98"/>
      <c r="S98"/>
      <c r="T98"/>
      <c r="U98"/>
    </row>
    <row r="99" spans="2:21" ht="15" customHeight="1" x14ac:dyDescent="0.25">
      <c r="B99" s="31"/>
      <c r="C99" s="31"/>
      <c r="D99" s="31"/>
      <c r="E99" s="31"/>
      <c r="F99" s="31"/>
      <c r="G99" s="31"/>
      <c r="H99" s="31"/>
      <c r="I99" s="31"/>
      <c r="J99" s="31"/>
      <c r="K99"/>
      <c r="L99"/>
      <c r="M99"/>
      <c r="N99"/>
      <c r="O99"/>
      <c r="P99"/>
      <c r="Q99"/>
      <c r="R99"/>
      <c r="S99"/>
      <c r="T99"/>
      <c r="U99"/>
    </row>
    <row r="100" spans="2:21" ht="15" customHeight="1" x14ac:dyDescent="0.25">
      <c r="B100" s="31"/>
      <c r="C100" s="31"/>
      <c r="D100" s="31"/>
      <c r="E100" s="31"/>
      <c r="F100" s="31"/>
      <c r="G100" s="31"/>
      <c r="H100" s="31"/>
      <c r="I100" s="31"/>
      <c r="J100" s="31"/>
      <c r="K100"/>
      <c r="L100"/>
      <c r="M100"/>
      <c r="N100"/>
      <c r="O100"/>
      <c r="P100"/>
      <c r="Q100"/>
      <c r="R100"/>
      <c r="S100"/>
      <c r="T100"/>
      <c r="U100"/>
    </row>
    <row r="101" spans="2:21" ht="15" customHeight="1" x14ac:dyDescent="0.25">
      <c r="B101" s="31"/>
      <c r="C101" s="31"/>
      <c r="D101" s="31"/>
      <c r="E101" s="31"/>
      <c r="F101" s="31"/>
      <c r="G101" s="31"/>
      <c r="H101" s="31"/>
      <c r="I101" s="31"/>
      <c r="J101" s="31"/>
      <c r="K101"/>
      <c r="L101"/>
      <c r="M101"/>
      <c r="N101"/>
      <c r="O101"/>
      <c r="P101"/>
      <c r="Q101"/>
      <c r="R101"/>
      <c r="S101"/>
      <c r="T101"/>
      <c r="U101"/>
    </row>
  </sheetData>
  <mergeCells count="1">
    <mergeCell ref="H1:I1"/>
  </mergeCells>
  <conditionalFormatting sqref="B1">
    <cfRule type="cellIs" dxfId="77" priority="1" operator="equal">
      <formula>"Incomplete"</formula>
    </cfRule>
    <cfRule type="cellIs" dxfId="76" priority="2" operator="equal">
      <formula>"Flag for Review"</formula>
    </cfRule>
    <cfRule type="cellIs" dxfId="75" priority="3" operator="equal">
      <formula>"Finished"</formula>
    </cfRule>
  </conditionalFormatting>
  <dataValidations count="1">
    <dataValidation type="list" allowBlank="1" showInputMessage="1" showErrorMessage="1" sqref="B1">
      <formula1>"Finished, Flag for Review, Incomplete"</formula1>
    </dataValidation>
  </dataValidations>
  <hyperlinks>
    <hyperlink ref="H1" location="'Point Grid'!A8" display="Return to Point Grid"/>
    <hyperlink ref="H1:I1" location="'Point Grid'!A1" display="Return to Point Grid"/>
  </hyperlink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/>
  <dimension ref="A1:U101"/>
  <sheetViews>
    <sheetView zoomScaleNormal="100" workbookViewId="0"/>
  </sheetViews>
  <sheetFormatPr defaultColWidth="9.140625" defaultRowHeight="15" x14ac:dyDescent="0.25"/>
  <cols>
    <col min="1" max="1" width="9.140625" style="21"/>
    <col min="2" max="2" width="16" style="21" bestFit="1" customWidth="1"/>
    <col min="3" max="9" width="11.140625" style="21" customWidth="1"/>
    <col min="10" max="16384" width="9.140625" style="21"/>
  </cols>
  <sheetData>
    <row r="1" spans="1:21" x14ac:dyDescent="0.25">
      <c r="A1" s="7">
        <v>6</v>
      </c>
      <c r="B1" s="27" t="s">
        <v>12</v>
      </c>
      <c r="C1" s="20"/>
      <c r="D1" s="20"/>
      <c r="E1" s="20"/>
      <c r="F1" s="20"/>
      <c r="G1" s="20"/>
      <c r="H1" s="384" t="s">
        <v>24</v>
      </c>
      <c r="I1" s="385"/>
      <c r="K1"/>
      <c r="L1"/>
      <c r="M1"/>
      <c r="N1"/>
      <c r="O1"/>
      <c r="P1"/>
      <c r="Q1"/>
      <c r="R1"/>
      <c r="S1"/>
      <c r="T1"/>
      <c r="U1"/>
    </row>
    <row r="2" spans="1:21" x14ac:dyDescent="0.25">
      <c r="A2" s="22"/>
      <c r="B2" s="19"/>
      <c r="C2" s="19"/>
      <c r="D2" s="19"/>
      <c r="E2" s="19"/>
      <c r="F2" s="19"/>
      <c r="G2" s="19"/>
      <c r="H2" s="19"/>
      <c r="I2" s="23"/>
      <c r="K2"/>
      <c r="L2"/>
      <c r="M2"/>
      <c r="N2"/>
      <c r="O2"/>
      <c r="P2"/>
      <c r="Q2"/>
      <c r="R2"/>
      <c r="S2"/>
      <c r="T2"/>
      <c r="U2"/>
    </row>
    <row r="3" spans="1:21" x14ac:dyDescent="0.25">
      <c r="A3" s="8" t="s">
        <v>13</v>
      </c>
      <c r="B3" s="17"/>
      <c r="C3" s="17"/>
      <c r="D3" s="17"/>
      <c r="E3" s="17"/>
      <c r="F3" s="17"/>
      <c r="G3" s="17"/>
      <c r="H3" s="17"/>
      <c r="I3" s="18"/>
      <c r="J3" s="31"/>
      <c r="K3"/>
      <c r="L3"/>
      <c r="M3"/>
      <c r="N3"/>
      <c r="O3"/>
      <c r="P3"/>
      <c r="Q3"/>
      <c r="R3"/>
      <c r="S3"/>
      <c r="T3"/>
      <c r="U3"/>
    </row>
    <row r="4" spans="1:21" x14ac:dyDescent="0.25">
      <c r="A4" s="9">
        <f>INDEX('Point Grid'!B:B,MATCH(A1,'Point Grid'!A:A,0))</f>
        <v>1</v>
      </c>
      <c r="B4" s="17" t="s">
        <v>40</v>
      </c>
      <c r="C4" s="17"/>
      <c r="D4" s="17"/>
      <c r="E4" s="17"/>
      <c r="F4" s="17"/>
      <c r="G4" s="17"/>
      <c r="H4" s="17"/>
      <c r="I4" s="18"/>
      <c r="J4" s="31"/>
      <c r="K4"/>
      <c r="L4"/>
      <c r="M4"/>
      <c r="N4"/>
      <c r="O4"/>
      <c r="P4"/>
      <c r="Q4"/>
      <c r="R4"/>
      <c r="S4"/>
      <c r="T4"/>
      <c r="U4"/>
    </row>
    <row r="5" spans="1:21" x14ac:dyDescent="0.25">
      <c r="A5" s="16"/>
      <c r="B5" s="17"/>
      <c r="C5" s="17"/>
      <c r="D5" s="17"/>
      <c r="E5" s="17"/>
      <c r="F5" s="17"/>
      <c r="G5" s="17"/>
      <c r="H5" s="17"/>
      <c r="I5" s="18"/>
      <c r="J5" s="31"/>
      <c r="K5"/>
      <c r="L5"/>
      <c r="M5"/>
      <c r="N5"/>
      <c r="O5"/>
      <c r="P5"/>
      <c r="Q5"/>
      <c r="R5"/>
      <c r="S5"/>
      <c r="T5"/>
      <c r="U5"/>
    </row>
    <row r="6" spans="1:21" x14ac:dyDescent="0.25">
      <c r="A6" s="25" t="s">
        <v>2</v>
      </c>
      <c r="B6" s="17" t="s">
        <v>56</v>
      </c>
      <c r="C6" s="17"/>
      <c r="D6" s="17"/>
      <c r="E6" s="17"/>
      <c r="F6" s="17"/>
      <c r="G6" s="17"/>
      <c r="H6" s="17"/>
      <c r="I6" s="18"/>
      <c r="J6" s="31"/>
      <c r="K6"/>
      <c r="L6"/>
      <c r="M6"/>
      <c r="N6"/>
      <c r="O6"/>
      <c r="P6"/>
      <c r="Q6"/>
      <c r="R6"/>
      <c r="S6"/>
      <c r="T6"/>
      <c r="U6"/>
    </row>
    <row r="7" spans="1:21" ht="15.75" thickBot="1" x14ac:dyDescent="0.3">
      <c r="A7" s="9">
        <f>INDEX('Point Grid'!$C$8:$I$54,MATCH($A$1,'Point Grid'!$A$8:$A$54,0),MATCH(A6,'Point Grid'!$C$7:$I$7,0))</f>
        <v>1</v>
      </c>
      <c r="B7" s="17"/>
      <c r="C7" s="17"/>
      <c r="D7" s="17"/>
      <c r="E7" s="17"/>
      <c r="F7" s="17"/>
      <c r="G7" s="17"/>
      <c r="H7" s="17"/>
      <c r="I7" s="18"/>
      <c r="J7" s="31"/>
      <c r="K7"/>
      <c r="L7"/>
      <c r="M7"/>
      <c r="N7"/>
      <c r="O7"/>
      <c r="P7"/>
      <c r="Q7"/>
      <c r="R7"/>
      <c r="S7"/>
      <c r="T7"/>
      <c r="U7"/>
    </row>
    <row r="8" spans="1:21" ht="15.75" thickBot="1" x14ac:dyDescent="0.3">
      <c r="A8" s="5"/>
      <c r="B8" s="35" t="s">
        <v>33</v>
      </c>
      <c r="C8" s="63"/>
      <c r="D8" s="28"/>
      <c r="E8" s="28"/>
      <c r="F8" s="28"/>
      <c r="G8" s="28"/>
      <c r="H8" s="28"/>
      <c r="I8" s="18"/>
      <c r="J8" s="31"/>
      <c r="K8"/>
      <c r="L8"/>
      <c r="M8"/>
      <c r="N8"/>
      <c r="O8"/>
      <c r="P8"/>
      <c r="Q8"/>
      <c r="R8"/>
      <c r="S8"/>
      <c r="T8"/>
      <c r="U8"/>
    </row>
    <row r="9" spans="1:21" x14ac:dyDescent="0.25">
      <c r="A9" s="25"/>
      <c r="B9" s="17"/>
      <c r="C9" s="17"/>
      <c r="D9" s="17"/>
      <c r="E9" s="17"/>
      <c r="F9" s="17"/>
      <c r="G9" s="17"/>
      <c r="H9" s="17"/>
      <c r="I9" s="18"/>
      <c r="J9" s="31"/>
      <c r="K9"/>
      <c r="L9"/>
      <c r="M9"/>
      <c r="N9"/>
      <c r="O9"/>
      <c r="P9"/>
      <c r="Q9"/>
      <c r="R9"/>
      <c r="S9"/>
      <c r="T9"/>
      <c r="U9"/>
    </row>
    <row r="10" spans="1:21" x14ac:dyDescent="0.25">
      <c r="A10" s="25"/>
      <c r="B10" s="56" t="s">
        <v>55</v>
      </c>
      <c r="C10" s="36"/>
      <c r="D10" s="36"/>
      <c r="E10" s="36"/>
      <c r="F10" s="45">
        <v>100</v>
      </c>
      <c r="G10" s="17"/>
      <c r="H10" s="17"/>
      <c r="I10" s="18"/>
      <c r="J10" s="31"/>
      <c r="K10"/>
      <c r="L10"/>
      <c r="M10"/>
      <c r="N10"/>
      <c r="O10"/>
      <c r="P10"/>
      <c r="Q10"/>
      <c r="R10"/>
      <c r="S10"/>
      <c r="T10"/>
      <c r="U10"/>
    </row>
    <row r="11" spans="1:21" x14ac:dyDescent="0.25">
      <c r="A11" s="25"/>
      <c r="B11" s="59" t="s">
        <v>54</v>
      </c>
      <c r="C11" s="44"/>
      <c r="D11" s="44"/>
      <c r="E11" s="44"/>
      <c r="F11" s="61">
        <v>980</v>
      </c>
      <c r="G11" s="17"/>
      <c r="H11" s="17"/>
      <c r="I11" s="18"/>
      <c r="J11" s="31"/>
      <c r="K11"/>
      <c r="L11"/>
      <c r="M11"/>
      <c r="N11"/>
      <c r="O11"/>
      <c r="P11"/>
      <c r="Q11"/>
      <c r="R11"/>
      <c r="S11"/>
      <c r="T11"/>
      <c r="U11"/>
    </row>
    <row r="12" spans="1:21" x14ac:dyDescent="0.25">
      <c r="A12" s="25"/>
      <c r="B12" s="17"/>
      <c r="C12" s="17"/>
      <c r="D12" s="17"/>
      <c r="E12" s="17"/>
      <c r="F12" s="17"/>
      <c r="G12" s="17"/>
      <c r="H12" s="17"/>
      <c r="I12" s="18"/>
      <c r="J12" s="31"/>
      <c r="K12"/>
      <c r="L12"/>
      <c r="M12"/>
      <c r="N12"/>
      <c r="O12"/>
      <c r="P12"/>
      <c r="Q12"/>
      <c r="R12"/>
      <c r="S12"/>
      <c r="T12"/>
      <c r="U12"/>
    </row>
    <row r="13" spans="1:21" x14ac:dyDescent="0.25">
      <c r="A13" s="25"/>
      <c r="B13" s="17"/>
      <c r="C13" s="17"/>
      <c r="D13" s="17"/>
      <c r="E13" s="17"/>
      <c r="F13" s="17"/>
      <c r="G13" s="17"/>
      <c r="H13" s="17"/>
      <c r="I13" s="18"/>
      <c r="J13" s="31"/>
      <c r="K13"/>
      <c r="L13"/>
      <c r="M13"/>
      <c r="N13"/>
      <c r="O13"/>
      <c r="P13"/>
      <c r="Q13"/>
      <c r="R13"/>
      <c r="S13"/>
      <c r="T13"/>
      <c r="U13"/>
    </row>
    <row r="14" spans="1:21" x14ac:dyDescent="0.25">
      <c r="A14" s="25"/>
      <c r="B14" s="17"/>
      <c r="C14" s="17"/>
      <c r="D14" s="17"/>
      <c r="E14" s="17"/>
      <c r="F14" s="17"/>
      <c r="G14" s="17"/>
      <c r="H14" s="17"/>
      <c r="I14" s="18"/>
      <c r="J14" s="31"/>
      <c r="K14"/>
      <c r="L14"/>
      <c r="M14"/>
      <c r="N14"/>
      <c r="O14"/>
      <c r="P14"/>
      <c r="Q14"/>
      <c r="R14"/>
      <c r="S14"/>
      <c r="T14"/>
      <c r="U14"/>
    </row>
    <row r="15" spans="1:21" x14ac:dyDescent="0.25">
      <c r="A15" s="25"/>
      <c r="B15" s="17"/>
      <c r="C15" s="17"/>
      <c r="D15" s="17"/>
      <c r="E15" s="17"/>
      <c r="F15" s="17"/>
      <c r="G15" s="17"/>
      <c r="H15" s="17"/>
      <c r="I15" s="18"/>
      <c r="J15" s="31"/>
      <c r="K15"/>
      <c r="L15"/>
      <c r="M15"/>
      <c r="N15"/>
      <c r="O15"/>
      <c r="P15"/>
      <c r="Q15"/>
      <c r="R15"/>
      <c r="S15"/>
      <c r="T15"/>
      <c r="U15"/>
    </row>
    <row r="16" spans="1:21" x14ac:dyDescent="0.25">
      <c r="A16" s="25"/>
      <c r="B16" s="17"/>
      <c r="C16" s="17"/>
      <c r="D16" s="17"/>
      <c r="E16" s="17"/>
      <c r="F16" s="17"/>
      <c r="G16" s="17"/>
      <c r="H16" s="17"/>
      <c r="I16" s="18"/>
      <c r="J16" s="31"/>
      <c r="K16"/>
      <c r="L16"/>
      <c r="M16"/>
      <c r="N16"/>
      <c r="O16"/>
      <c r="P16"/>
      <c r="Q16"/>
      <c r="R16"/>
      <c r="S16"/>
      <c r="T16"/>
      <c r="U16"/>
    </row>
    <row r="17" spans="1:21" x14ac:dyDescent="0.25">
      <c r="A17" s="25"/>
      <c r="B17" s="17"/>
      <c r="C17" s="17"/>
      <c r="D17" s="17"/>
      <c r="E17" s="17"/>
      <c r="F17" s="17"/>
      <c r="G17" s="17"/>
      <c r="H17" s="17"/>
      <c r="I17" s="18"/>
      <c r="J17" s="31"/>
      <c r="K17"/>
      <c r="L17"/>
      <c r="M17"/>
      <c r="N17"/>
      <c r="O17"/>
      <c r="P17"/>
      <c r="Q17"/>
      <c r="R17"/>
      <c r="S17"/>
      <c r="T17"/>
      <c r="U17"/>
    </row>
    <row r="18" spans="1:21" ht="15" customHeight="1" x14ac:dyDescent="0.25">
      <c r="A18" s="25"/>
      <c r="B18" s="17"/>
      <c r="C18" s="17"/>
      <c r="D18" s="17"/>
      <c r="E18" s="17"/>
      <c r="F18" s="17"/>
      <c r="G18" s="17"/>
      <c r="H18" s="17"/>
      <c r="I18" s="18"/>
      <c r="J18" s="31"/>
      <c r="K18"/>
      <c r="L18"/>
      <c r="M18"/>
      <c r="N18"/>
      <c r="O18"/>
      <c r="P18"/>
      <c r="Q18"/>
      <c r="R18"/>
      <c r="S18"/>
      <c r="T18"/>
      <c r="U18"/>
    </row>
    <row r="19" spans="1:21" ht="15" customHeight="1" x14ac:dyDescent="0.25">
      <c r="A19" s="25"/>
      <c r="B19" s="17"/>
      <c r="C19" s="17"/>
      <c r="D19" s="17"/>
      <c r="E19" s="17"/>
      <c r="F19" s="17"/>
      <c r="G19" s="17"/>
      <c r="H19" s="17"/>
      <c r="I19" s="18"/>
      <c r="J19" s="31"/>
      <c r="K19"/>
      <c r="L19"/>
      <c r="M19"/>
      <c r="N19"/>
      <c r="O19"/>
      <c r="P19"/>
      <c r="Q19"/>
      <c r="R19"/>
      <c r="S19"/>
      <c r="T19"/>
      <c r="U19"/>
    </row>
    <row r="20" spans="1:21" ht="15" customHeight="1" x14ac:dyDescent="0.25">
      <c r="A20" s="25"/>
      <c r="B20" s="17"/>
      <c r="C20" s="17"/>
      <c r="D20" s="17"/>
      <c r="E20" s="17"/>
      <c r="F20" s="17"/>
      <c r="G20" s="17"/>
      <c r="H20" s="17"/>
      <c r="I20" s="18"/>
      <c r="J20" s="31"/>
      <c r="K20"/>
      <c r="L20"/>
      <c r="M20"/>
      <c r="N20"/>
      <c r="O20"/>
      <c r="P20"/>
      <c r="Q20"/>
      <c r="R20"/>
      <c r="S20"/>
      <c r="T20"/>
      <c r="U20"/>
    </row>
    <row r="21" spans="1:21" ht="15" customHeight="1" x14ac:dyDescent="0.25">
      <c r="A21" s="25"/>
      <c r="B21" s="17"/>
      <c r="C21" s="17"/>
      <c r="D21" s="17"/>
      <c r="E21" s="17"/>
      <c r="F21" s="17"/>
      <c r="G21" s="17"/>
      <c r="H21" s="17"/>
      <c r="I21" s="18"/>
      <c r="J21" s="31"/>
      <c r="K21"/>
      <c r="L21"/>
      <c r="M21"/>
      <c r="N21"/>
      <c r="O21"/>
      <c r="P21"/>
      <c r="Q21"/>
      <c r="R21"/>
      <c r="S21"/>
      <c r="T21"/>
      <c r="U21"/>
    </row>
    <row r="22" spans="1:21" ht="15" customHeight="1" x14ac:dyDescent="0.25">
      <c r="A22" s="25"/>
      <c r="B22" s="17"/>
      <c r="C22" s="17"/>
      <c r="D22" s="17"/>
      <c r="E22" s="17"/>
      <c r="F22" s="17"/>
      <c r="G22" s="17"/>
      <c r="H22" s="17"/>
      <c r="I22" s="18"/>
      <c r="J22" s="31"/>
      <c r="K22"/>
      <c r="L22"/>
      <c r="M22"/>
      <c r="N22"/>
      <c r="O22"/>
      <c r="P22"/>
      <c r="Q22"/>
      <c r="R22"/>
      <c r="S22"/>
      <c r="T22"/>
      <c r="U22"/>
    </row>
    <row r="23" spans="1:21" ht="15" customHeight="1" x14ac:dyDescent="0.25">
      <c r="A23" s="25"/>
      <c r="B23" s="17"/>
      <c r="C23" s="17"/>
      <c r="D23" s="17"/>
      <c r="E23" s="17"/>
      <c r="F23" s="17"/>
      <c r="G23" s="17"/>
      <c r="H23" s="17"/>
      <c r="I23" s="18"/>
      <c r="J23" s="31"/>
      <c r="K23"/>
      <c r="L23"/>
      <c r="M23"/>
      <c r="N23"/>
      <c r="O23"/>
      <c r="P23"/>
      <c r="Q23"/>
      <c r="R23"/>
      <c r="S23"/>
      <c r="T23"/>
      <c r="U23"/>
    </row>
    <row r="24" spans="1:21" ht="15" customHeight="1" x14ac:dyDescent="0.25">
      <c r="A24" s="25"/>
      <c r="B24" s="17"/>
      <c r="C24" s="17"/>
      <c r="D24" s="17"/>
      <c r="E24" s="17"/>
      <c r="F24" s="17"/>
      <c r="G24" s="17"/>
      <c r="H24" s="17"/>
      <c r="I24" s="18"/>
      <c r="J24" s="31"/>
      <c r="K24"/>
      <c r="L24"/>
      <c r="M24"/>
      <c r="N24"/>
      <c r="O24"/>
      <c r="P24"/>
      <c r="Q24"/>
      <c r="R24"/>
      <c r="S24"/>
      <c r="T24"/>
      <c r="U24"/>
    </row>
    <row r="25" spans="1:21" ht="15" customHeight="1" x14ac:dyDescent="0.25">
      <c r="A25" s="25"/>
      <c r="B25" s="17"/>
      <c r="C25" s="17"/>
      <c r="D25" s="17"/>
      <c r="E25" s="17"/>
      <c r="F25" s="17"/>
      <c r="G25" s="17"/>
      <c r="H25" s="17"/>
      <c r="I25" s="18"/>
      <c r="J25" s="31"/>
      <c r="K25"/>
      <c r="L25"/>
      <c r="M25"/>
      <c r="N25"/>
      <c r="O25"/>
      <c r="P25"/>
      <c r="Q25"/>
      <c r="R25"/>
      <c r="S25"/>
      <c r="T25"/>
      <c r="U25"/>
    </row>
    <row r="26" spans="1:21" ht="15" customHeight="1" x14ac:dyDescent="0.25">
      <c r="A26" s="25"/>
      <c r="B26" s="17"/>
      <c r="C26" s="17"/>
      <c r="D26" s="17"/>
      <c r="E26" s="17"/>
      <c r="F26" s="17"/>
      <c r="G26" s="17"/>
      <c r="H26" s="17"/>
      <c r="I26" s="18"/>
      <c r="J26" s="31"/>
      <c r="K26"/>
      <c r="L26"/>
      <c r="M26"/>
      <c r="N26"/>
      <c r="O26"/>
      <c r="P26"/>
      <c r="Q26"/>
      <c r="R26"/>
      <c r="S26"/>
      <c r="T26"/>
      <c r="U26"/>
    </row>
    <row r="27" spans="1:21" ht="15" customHeight="1" x14ac:dyDescent="0.25">
      <c r="A27" s="25"/>
      <c r="B27" s="17"/>
      <c r="C27" s="17"/>
      <c r="D27" s="17"/>
      <c r="E27" s="17"/>
      <c r="F27" s="17"/>
      <c r="G27" s="17"/>
      <c r="H27" s="17"/>
      <c r="I27" s="18"/>
      <c r="J27" s="31"/>
      <c r="K27"/>
      <c r="L27"/>
      <c r="M27"/>
      <c r="N27"/>
      <c r="O27"/>
      <c r="P27"/>
      <c r="Q27"/>
      <c r="R27"/>
      <c r="S27"/>
      <c r="T27"/>
      <c r="U27"/>
    </row>
    <row r="28" spans="1:21" ht="15" customHeight="1" x14ac:dyDescent="0.25">
      <c r="A28" s="25"/>
      <c r="B28" s="17"/>
      <c r="C28" s="17"/>
      <c r="D28" s="17"/>
      <c r="E28" s="17"/>
      <c r="F28" s="17"/>
      <c r="G28" s="17"/>
      <c r="H28" s="17"/>
      <c r="I28" s="18"/>
      <c r="J28" s="31"/>
      <c r="K28"/>
      <c r="L28"/>
      <c r="M28"/>
      <c r="N28"/>
      <c r="O28"/>
      <c r="P28"/>
      <c r="Q28"/>
      <c r="R28"/>
      <c r="S28"/>
      <c r="T28"/>
      <c r="U28"/>
    </row>
    <row r="29" spans="1:21" ht="15" customHeight="1" x14ac:dyDescent="0.25">
      <c r="A29" s="22"/>
      <c r="B29" s="17"/>
      <c r="C29" s="17"/>
      <c r="D29" s="17"/>
      <c r="E29" s="17"/>
      <c r="F29" s="17"/>
      <c r="G29" s="17"/>
      <c r="H29" s="17"/>
      <c r="I29" s="18"/>
      <c r="J29" s="31"/>
      <c r="K29"/>
      <c r="L29"/>
      <c r="M29"/>
      <c r="N29"/>
      <c r="O29"/>
      <c r="P29"/>
      <c r="Q29"/>
      <c r="R29"/>
      <c r="S29"/>
      <c r="T29"/>
      <c r="U29"/>
    </row>
    <row r="30" spans="1:21" ht="15" customHeight="1" thickBot="1" x14ac:dyDescent="0.3">
      <c r="A30" s="24"/>
      <c r="B30" s="32"/>
      <c r="C30" s="32"/>
      <c r="D30" s="32"/>
      <c r="E30" s="32"/>
      <c r="F30" s="32"/>
      <c r="G30" s="32"/>
      <c r="H30" s="32"/>
      <c r="I30" s="33"/>
      <c r="J30" s="31"/>
      <c r="K30"/>
      <c r="L30"/>
      <c r="M30"/>
      <c r="N30"/>
      <c r="O30"/>
      <c r="P30"/>
      <c r="Q30"/>
      <c r="R30"/>
      <c r="S30"/>
      <c r="T30"/>
      <c r="U30"/>
    </row>
    <row r="31" spans="1:21" ht="15" customHeight="1" x14ac:dyDescent="0.25">
      <c r="B31" s="31"/>
      <c r="C31" s="31"/>
      <c r="D31" s="31"/>
      <c r="E31" s="31"/>
      <c r="F31" s="31"/>
      <c r="G31" s="31"/>
      <c r="H31" s="31"/>
      <c r="I31" s="31"/>
      <c r="J31" s="31"/>
      <c r="K31"/>
      <c r="L31"/>
      <c r="M31"/>
      <c r="N31"/>
      <c r="O31"/>
      <c r="P31"/>
      <c r="Q31"/>
      <c r="R31"/>
      <c r="S31"/>
      <c r="T31"/>
      <c r="U31"/>
    </row>
    <row r="32" spans="1:21" ht="15" customHeight="1" x14ac:dyDescent="0.25">
      <c r="J32" s="31"/>
      <c r="K32"/>
      <c r="L32"/>
      <c r="M32"/>
      <c r="N32"/>
      <c r="O32"/>
      <c r="P32"/>
      <c r="Q32"/>
      <c r="R32"/>
      <c r="S32"/>
      <c r="T32"/>
      <c r="U32"/>
    </row>
    <row r="33" spans="2:21" ht="15" customHeight="1" x14ac:dyDescent="0.25">
      <c r="J33" s="31"/>
      <c r="K33"/>
      <c r="L33"/>
      <c r="M33"/>
      <c r="N33"/>
      <c r="O33"/>
      <c r="P33"/>
      <c r="Q33"/>
      <c r="R33"/>
      <c r="S33"/>
      <c r="T33"/>
      <c r="U33"/>
    </row>
    <row r="34" spans="2:21" ht="15" customHeight="1" x14ac:dyDescent="0.25">
      <c r="J34" s="31"/>
      <c r="K34"/>
      <c r="L34"/>
      <c r="M34"/>
      <c r="N34"/>
      <c r="O34"/>
      <c r="P34"/>
      <c r="Q34"/>
      <c r="R34"/>
      <c r="S34"/>
      <c r="T34"/>
      <c r="U34"/>
    </row>
    <row r="35" spans="2:21" ht="15" customHeight="1" x14ac:dyDescent="0.25">
      <c r="J35" s="31"/>
      <c r="K35"/>
      <c r="L35"/>
      <c r="M35"/>
      <c r="N35"/>
      <c r="O35"/>
      <c r="P35"/>
      <c r="Q35"/>
      <c r="R35"/>
      <c r="S35"/>
      <c r="T35"/>
      <c r="U35"/>
    </row>
    <row r="36" spans="2:21" ht="15" customHeight="1" x14ac:dyDescent="0.25">
      <c r="J36" s="31"/>
      <c r="K36"/>
      <c r="L36"/>
      <c r="M36"/>
      <c r="N36"/>
      <c r="O36"/>
      <c r="P36"/>
      <c r="Q36"/>
      <c r="R36"/>
      <c r="S36"/>
      <c r="T36"/>
      <c r="U36"/>
    </row>
    <row r="37" spans="2:21" ht="15" customHeight="1" x14ac:dyDescent="0.25">
      <c r="J37" s="31"/>
      <c r="K37"/>
      <c r="L37"/>
      <c r="M37"/>
      <c r="N37"/>
      <c r="O37"/>
      <c r="P37"/>
      <c r="Q37"/>
      <c r="R37"/>
      <c r="S37"/>
      <c r="T37"/>
      <c r="U37"/>
    </row>
    <row r="38" spans="2:21" ht="15" customHeight="1" x14ac:dyDescent="0.25">
      <c r="J38" s="31"/>
      <c r="K38"/>
      <c r="L38"/>
      <c r="M38"/>
      <c r="N38"/>
      <c r="O38"/>
      <c r="P38"/>
      <c r="Q38"/>
      <c r="R38"/>
      <c r="S38"/>
      <c r="T38"/>
      <c r="U38"/>
    </row>
    <row r="39" spans="2:21" ht="15" customHeight="1" x14ac:dyDescent="0.25">
      <c r="J39" s="31"/>
      <c r="K39"/>
      <c r="L39"/>
      <c r="M39"/>
      <c r="N39"/>
      <c r="O39"/>
      <c r="P39"/>
      <c r="Q39"/>
      <c r="R39"/>
      <c r="S39"/>
      <c r="T39"/>
      <c r="U39"/>
    </row>
    <row r="40" spans="2:21" ht="15" customHeight="1" x14ac:dyDescent="0.25">
      <c r="J40" s="31"/>
      <c r="K40"/>
      <c r="L40"/>
      <c r="M40"/>
      <c r="N40"/>
      <c r="O40"/>
      <c r="P40"/>
      <c r="Q40"/>
      <c r="R40"/>
      <c r="S40"/>
      <c r="T40"/>
      <c r="U40"/>
    </row>
    <row r="41" spans="2:21" ht="15" customHeight="1" x14ac:dyDescent="0.25">
      <c r="J41" s="31"/>
      <c r="K41"/>
      <c r="L41"/>
      <c r="M41"/>
      <c r="N41"/>
      <c r="O41"/>
      <c r="P41"/>
      <c r="Q41"/>
      <c r="R41"/>
      <c r="S41"/>
      <c r="T41"/>
      <c r="U41"/>
    </row>
    <row r="42" spans="2:21" ht="15" customHeight="1" x14ac:dyDescent="0.25">
      <c r="J42" s="31"/>
      <c r="K42"/>
      <c r="L42"/>
      <c r="M42"/>
      <c r="N42"/>
      <c r="O42"/>
      <c r="P42"/>
      <c r="Q42"/>
      <c r="R42"/>
      <c r="S42"/>
      <c r="T42"/>
      <c r="U42"/>
    </row>
    <row r="43" spans="2:21" ht="15" customHeight="1" x14ac:dyDescent="0.25">
      <c r="J43" s="31"/>
      <c r="K43"/>
      <c r="L43"/>
      <c r="M43"/>
      <c r="N43"/>
      <c r="O43"/>
      <c r="P43"/>
      <c r="Q43"/>
      <c r="R43"/>
      <c r="S43"/>
      <c r="T43"/>
      <c r="U43"/>
    </row>
    <row r="44" spans="2:21" ht="15" customHeight="1" x14ac:dyDescent="0.25">
      <c r="J44" s="31"/>
      <c r="K44"/>
      <c r="L44"/>
      <c r="M44"/>
      <c r="N44"/>
      <c r="O44"/>
      <c r="P44"/>
      <c r="Q44"/>
      <c r="R44"/>
      <c r="S44"/>
      <c r="T44"/>
      <c r="U44"/>
    </row>
    <row r="45" spans="2:21" ht="15" customHeight="1" x14ac:dyDescent="0.25">
      <c r="J45" s="31"/>
      <c r="K45"/>
      <c r="L45"/>
      <c r="M45"/>
      <c r="N45"/>
      <c r="O45"/>
      <c r="P45"/>
      <c r="Q45"/>
      <c r="R45"/>
      <c r="S45"/>
      <c r="T45"/>
      <c r="U45"/>
    </row>
    <row r="46" spans="2:21" ht="15" customHeight="1" x14ac:dyDescent="0.25">
      <c r="B46" s="31"/>
      <c r="C46" s="31"/>
      <c r="D46" s="31"/>
      <c r="E46" s="31"/>
      <c r="F46" s="31"/>
      <c r="G46" s="31"/>
      <c r="H46" s="31"/>
      <c r="I46" s="31"/>
      <c r="J46" s="31"/>
      <c r="K46"/>
      <c r="L46"/>
      <c r="M46"/>
      <c r="N46"/>
      <c r="O46"/>
      <c r="P46"/>
      <c r="Q46"/>
      <c r="R46"/>
      <c r="S46"/>
      <c r="T46"/>
      <c r="U46"/>
    </row>
    <row r="47" spans="2:21" ht="15" customHeight="1" x14ac:dyDescent="0.25">
      <c r="B47" s="31"/>
      <c r="C47" s="31"/>
      <c r="D47" s="31"/>
      <c r="E47" s="31"/>
      <c r="F47" s="31"/>
      <c r="G47" s="31"/>
      <c r="H47" s="31"/>
      <c r="I47" s="31"/>
      <c r="J47" s="31"/>
      <c r="K47"/>
      <c r="L47"/>
      <c r="M47"/>
      <c r="N47"/>
      <c r="O47"/>
      <c r="P47"/>
      <c r="Q47"/>
      <c r="R47"/>
      <c r="S47"/>
      <c r="T47"/>
      <c r="U47"/>
    </row>
    <row r="48" spans="2:21" ht="15" customHeight="1" x14ac:dyDescent="0.25">
      <c r="B48" s="31"/>
      <c r="C48" s="31"/>
      <c r="D48" s="31"/>
      <c r="E48" s="31"/>
      <c r="F48" s="31"/>
      <c r="G48" s="31"/>
      <c r="H48" s="31"/>
      <c r="I48" s="31"/>
      <c r="J48" s="31"/>
      <c r="K48"/>
      <c r="L48"/>
      <c r="M48"/>
      <c r="N48"/>
      <c r="O48"/>
      <c r="P48"/>
      <c r="Q48"/>
      <c r="R48"/>
      <c r="S48"/>
      <c r="T48"/>
      <c r="U48"/>
    </row>
    <row r="49" spans="2:21" ht="15" customHeight="1" x14ac:dyDescent="0.25">
      <c r="B49" s="31"/>
      <c r="C49" s="31"/>
      <c r="D49" s="31"/>
      <c r="E49" s="31"/>
      <c r="F49" s="31"/>
      <c r="G49" s="31"/>
      <c r="H49" s="31"/>
      <c r="I49" s="31"/>
      <c r="J49" s="31"/>
      <c r="K49"/>
      <c r="L49"/>
      <c r="M49"/>
      <c r="N49"/>
      <c r="O49"/>
      <c r="P49"/>
      <c r="Q49"/>
      <c r="R49"/>
      <c r="S49"/>
      <c r="T49"/>
      <c r="U49"/>
    </row>
    <row r="50" spans="2:21" ht="15" customHeight="1" x14ac:dyDescent="0.25">
      <c r="B50" s="31"/>
      <c r="C50" s="31"/>
      <c r="D50" s="31"/>
      <c r="E50" s="31"/>
      <c r="F50" s="31"/>
      <c r="G50" s="31"/>
      <c r="H50" s="31"/>
      <c r="I50" s="31"/>
      <c r="J50" s="31"/>
      <c r="K50"/>
      <c r="L50"/>
      <c r="M50"/>
      <c r="N50"/>
      <c r="O50"/>
      <c r="P50"/>
      <c r="Q50"/>
      <c r="R50"/>
      <c r="S50"/>
      <c r="T50"/>
      <c r="U50"/>
    </row>
    <row r="51" spans="2:21" ht="15" customHeight="1" x14ac:dyDescent="0.25">
      <c r="B51" s="31"/>
      <c r="C51" s="31"/>
      <c r="D51" s="31"/>
      <c r="E51" s="31"/>
      <c r="F51" s="31"/>
      <c r="G51" s="31"/>
      <c r="H51" s="31"/>
      <c r="I51" s="31"/>
      <c r="J51" s="31"/>
      <c r="K51"/>
      <c r="L51"/>
      <c r="M51"/>
      <c r="N51"/>
      <c r="O51"/>
      <c r="P51"/>
      <c r="Q51"/>
      <c r="R51"/>
      <c r="S51"/>
      <c r="T51"/>
      <c r="U51"/>
    </row>
    <row r="52" spans="2:21" ht="15" customHeight="1" x14ac:dyDescent="0.25">
      <c r="B52" s="31"/>
      <c r="C52" s="31"/>
      <c r="D52" s="31"/>
      <c r="E52" s="31"/>
      <c r="F52" s="31"/>
      <c r="G52" s="31"/>
      <c r="H52" s="31"/>
      <c r="I52" s="31"/>
      <c r="J52" s="31"/>
      <c r="K52"/>
      <c r="L52"/>
      <c r="M52"/>
      <c r="N52"/>
      <c r="O52"/>
      <c r="P52"/>
      <c r="Q52"/>
      <c r="R52"/>
      <c r="S52"/>
      <c r="T52"/>
      <c r="U52"/>
    </row>
    <row r="53" spans="2:21" ht="15" customHeight="1" x14ac:dyDescent="0.25">
      <c r="B53" s="31"/>
      <c r="C53" s="31"/>
      <c r="D53" s="31"/>
      <c r="E53" s="31"/>
      <c r="F53" s="31"/>
      <c r="G53" s="31"/>
      <c r="H53" s="31"/>
      <c r="I53" s="31"/>
      <c r="J53" s="31"/>
      <c r="K53"/>
      <c r="L53"/>
      <c r="M53"/>
      <c r="N53"/>
      <c r="O53"/>
      <c r="P53"/>
      <c r="Q53"/>
      <c r="R53"/>
      <c r="S53"/>
      <c r="T53"/>
      <c r="U53"/>
    </row>
    <row r="54" spans="2:21" ht="15" customHeight="1" x14ac:dyDescent="0.25">
      <c r="B54" s="31"/>
      <c r="C54" s="31"/>
      <c r="D54" s="31"/>
      <c r="E54" s="31"/>
      <c r="F54" s="31"/>
      <c r="G54" s="31"/>
      <c r="H54" s="31"/>
      <c r="I54" s="31"/>
      <c r="J54" s="31"/>
      <c r="K54"/>
      <c r="L54"/>
      <c r="M54"/>
      <c r="N54"/>
      <c r="O54"/>
      <c r="P54"/>
      <c r="Q54"/>
      <c r="R54"/>
      <c r="S54"/>
      <c r="T54"/>
      <c r="U54"/>
    </row>
    <row r="55" spans="2:21" ht="15" customHeight="1" x14ac:dyDescent="0.25">
      <c r="B55" s="31"/>
      <c r="C55" s="31"/>
      <c r="D55" s="31"/>
      <c r="E55" s="31"/>
      <c r="F55" s="31"/>
      <c r="G55" s="31"/>
      <c r="H55" s="31"/>
      <c r="I55" s="31"/>
      <c r="J55" s="31"/>
      <c r="K55"/>
      <c r="L55"/>
      <c r="M55"/>
      <c r="N55"/>
      <c r="O55"/>
      <c r="P55"/>
      <c r="Q55"/>
      <c r="R55"/>
      <c r="S55"/>
      <c r="T55"/>
      <c r="U55"/>
    </row>
    <row r="56" spans="2:21" ht="15" customHeight="1" x14ac:dyDescent="0.25">
      <c r="B56" s="31"/>
      <c r="C56" s="31"/>
      <c r="D56" s="31"/>
      <c r="E56" s="31"/>
      <c r="F56" s="31"/>
      <c r="G56" s="31"/>
      <c r="H56" s="31"/>
      <c r="I56" s="31"/>
      <c r="J56" s="31"/>
      <c r="K56"/>
      <c r="L56"/>
      <c r="M56"/>
      <c r="N56"/>
      <c r="O56"/>
      <c r="P56"/>
      <c r="Q56"/>
      <c r="R56"/>
      <c r="S56"/>
      <c r="T56"/>
      <c r="U56"/>
    </row>
    <row r="57" spans="2:21" ht="15" customHeight="1" x14ac:dyDescent="0.25">
      <c r="B57" s="31"/>
      <c r="C57" s="31"/>
      <c r="D57" s="31"/>
      <c r="E57" s="31"/>
      <c r="F57" s="31"/>
      <c r="G57" s="31"/>
      <c r="H57" s="31"/>
      <c r="I57" s="31"/>
      <c r="J57" s="31"/>
      <c r="K57"/>
      <c r="L57"/>
      <c r="M57"/>
      <c r="N57"/>
      <c r="O57"/>
      <c r="P57"/>
      <c r="Q57"/>
      <c r="R57"/>
      <c r="S57"/>
      <c r="T57"/>
      <c r="U57"/>
    </row>
    <row r="58" spans="2:21" ht="15" customHeight="1" x14ac:dyDescent="0.25">
      <c r="B58" s="31"/>
      <c r="C58" s="31"/>
      <c r="D58" s="31"/>
      <c r="E58" s="31"/>
      <c r="F58" s="31"/>
      <c r="G58" s="31"/>
      <c r="H58" s="31"/>
      <c r="I58" s="31"/>
      <c r="J58" s="31"/>
      <c r="K58"/>
      <c r="L58"/>
      <c r="M58"/>
      <c r="N58"/>
      <c r="O58"/>
      <c r="P58"/>
      <c r="Q58"/>
      <c r="R58"/>
      <c r="S58"/>
      <c r="T58"/>
      <c r="U58"/>
    </row>
    <row r="59" spans="2:21" ht="15" customHeight="1" x14ac:dyDescent="0.25">
      <c r="B59" s="31"/>
      <c r="C59" s="31"/>
      <c r="D59" s="31"/>
      <c r="E59" s="31"/>
      <c r="F59" s="31"/>
      <c r="G59" s="31"/>
      <c r="H59" s="31"/>
      <c r="I59" s="31"/>
      <c r="J59" s="31"/>
      <c r="K59"/>
      <c r="L59"/>
      <c r="M59"/>
      <c r="N59"/>
      <c r="O59"/>
      <c r="P59"/>
      <c r="Q59"/>
      <c r="R59"/>
      <c r="S59"/>
      <c r="T59"/>
      <c r="U59"/>
    </row>
    <row r="60" spans="2:21" ht="15" customHeight="1" x14ac:dyDescent="0.25">
      <c r="B60" s="31"/>
      <c r="C60" s="31"/>
      <c r="D60" s="31"/>
      <c r="E60" s="31"/>
      <c r="F60" s="31"/>
      <c r="G60" s="31"/>
      <c r="H60" s="31"/>
      <c r="I60" s="31"/>
      <c r="J60" s="31"/>
      <c r="K60"/>
      <c r="L60"/>
      <c r="M60"/>
      <c r="N60"/>
      <c r="O60"/>
      <c r="P60"/>
      <c r="Q60"/>
      <c r="R60"/>
      <c r="S60"/>
      <c r="T60"/>
      <c r="U60"/>
    </row>
    <row r="61" spans="2:21" ht="15" customHeight="1" x14ac:dyDescent="0.25">
      <c r="B61" s="31"/>
      <c r="C61" s="31"/>
      <c r="D61" s="31"/>
      <c r="E61" s="31"/>
      <c r="F61" s="31"/>
      <c r="G61" s="31"/>
      <c r="H61" s="31"/>
      <c r="I61" s="31"/>
      <c r="J61" s="31"/>
      <c r="K61"/>
      <c r="L61"/>
      <c r="M61"/>
      <c r="N61"/>
      <c r="O61"/>
      <c r="P61"/>
      <c r="Q61"/>
      <c r="R61"/>
      <c r="S61"/>
      <c r="T61"/>
      <c r="U61"/>
    </row>
    <row r="62" spans="2:21" ht="15" customHeight="1" x14ac:dyDescent="0.25">
      <c r="B62" s="31"/>
      <c r="C62" s="31"/>
      <c r="D62" s="31"/>
      <c r="E62" s="31"/>
      <c r="F62" s="31"/>
      <c r="G62" s="31"/>
      <c r="H62" s="31"/>
      <c r="I62" s="31"/>
      <c r="J62" s="31"/>
      <c r="K62"/>
      <c r="L62"/>
      <c r="M62"/>
      <c r="N62"/>
      <c r="O62"/>
      <c r="P62"/>
      <c r="Q62"/>
      <c r="R62"/>
      <c r="S62"/>
      <c r="T62"/>
      <c r="U62"/>
    </row>
    <row r="63" spans="2:21" ht="15" customHeight="1" x14ac:dyDescent="0.25">
      <c r="B63" s="31"/>
      <c r="C63" s="31"/>
      <c r="D63" s="31"/>
      <c r="E63" s="31"/>
      <c r="F63" s="31"/>
      <c r="G63" s="31"/>
      <c r="H63" s="31"/>
      <c r="I63" s="31"/>
      <c r="J63" s="31"/>
      <c r="K63"/>
      <c r="L63"/>
      <c r="M63"/>
      <c r="N63"/>
      <c r="O63"/>
      <c r="P63"/>
      <c r="Q63"/>
      <c r="R63"/>
      <c r="S63"/>
      <c r="T63"/>
      <c r="U63"/>
    </row>
    <row r="64" spans="2:21" ht="15" customHeight="1" x14ac:dyDescent="0.25">
      <c r="B64" s="31"/>
      <c r="C64" s="31"/>
      <c r="D64" s="31"/>
      <c r="E64" s="31"/>
      <c r="F64" s="31"/>
      <c r="G64" s="31"/>
      <c r="H64" s="31"/>
      <c r="I64" s="31"/>
      <c r="J64" s="31"/>
      <c r="K64"/>
      <c r="L64"/>
      <c r="M64"/>
      <c r="N64"/>
      <c r="O64"/>
      <c r="P64"/>
      <c r="Q64"/>
      <c r="R64"/>
      <c r="S64"/>
      <c r="T64"/>
      <c r="U64"/>
    </row>
    <row r="65" spans="2:21" ht="15" customHeight="1" x14ac:dyDescent="0.25">
      <c r="B65" s="31"/>
      <c r="C65" s="31"/>
      <c r="D65" s="31"/>
      <c r="E65" s="31"/>
      <c r="F65" s="31"/>
      <c r="G65" s="31"/>
      <c r="H65" s="31"/>
      <c r="I65" s="31"/>
      <c r="J65" s="31"/>
      <c r="K65"/>
      <c r="L65"/>
      <c r="M65"/>
      <c r="N65"/>
      <c r="O65"/>
      <c r="P65"/>
      <c r="Q65"/>
      <c r="R65"/>
      <c r="S65"/>
      <c r="T65"/>
      <c r="U65"/>
    </row>
    <row r="66" spans="2:21" ht="15" customHeight="1" x14ac:dyDescent="0.25">
      <c r="B66" s="31"/>
      <c r="C66" s="31"/>
      <c r="D66" s="31"/>
      <c r="E66" s="31"/>
      <c r="F66" s="31"/>
      <c r="G66" s="31"/>
      <c r="H66" s="31"/>
      <c r="I66" s="31"/>
      <c r="J66" s="31"/>
      <c r="K66"/>
      <c r="L66"/>
      <c r="M66"/>
      <c r="N66"/>
      <c r="O66"/>
      <c r="P66"/>
      <c r="Q66"/>
      <c r="R66"/>
      <c r="S66"/>
      <c r="T66"/>
      <c r="U66"/>
    </row>
    <row r="67" spans="2:21" ht="15" customHeight="1" x14ac:dyDescent="0.25">
      <c r="B67" s="31"/>
      <c r="C67" s="31"/>
      <c r="D67" s="31"/>
      <c r="E67" s="31"/>
      <c r="F67" s="31"/>
      <c r="G67" s="31"/>
      <c r="H67" s="31"/>
      <c r="I67" s="31"/>
      <c r="J67" s="31"/>
      <c r="K67"/>
      <c r="L67"/>
      <c r="M67"/>
      <c r="N67"/>
      <c r="O67"/>
      <c r="P67"/>
      <c r="Q67"/>
      <c r="R67"/>
      <c r="S67"/>
      <c r="T67"/>
      <c r="U67"/>
    </row>
    <row r="68" spans="2:21" ht="15" customHeight="1" x14ac:dyDescent="0.25">
      <c r="B68" s="31"/>
      <c r="C68" s="31"/>
      <c r="D68" s="31"/>
      <c r="E68" s="31"/>
      <c r="F68" s="31"/>
      <c r="G68" s="31"/>
      <c r="H68" s="31"/>
      <c r="I68" s="31"/>
      <c r="J68" s="31"/>
      <c r="K68"/>
      <c r="L68"/>
      <c r="M68"/>
      <c r="N68"/>
      <c r="O68"/>
      <c r="P68"/>
      <c r="Q68"/>
      <c r="R68"/>
      <c r="S68"/>
      <c r="T68"/>
      <c r="U68"/>
    </row>
    <row r="69" spans="2:21" ht="15" customHeight="1" x14ac:dyDescent="0.25">
      <c r="B69" s="31"/>
      <c r="C69" s="31"/>
      <c r="D69" s="31"/>
      <c r="E69" s="31"/>
      <c r="F69" s="31"/>
      <c r="G69" s="31"/>
      <c r="H69" s="31"/>
      <c r="I69" s="31"/>
      <c r="J69" s="31"/>
      <c r="K69"/>
      <c r="L69"/>
      <c r="M69"/>
      <c r="N69"/>
      <c r="O69"/>
      <c r="P69"/>
      <c r="Q69"/>
      <c r="R69"/>
      <c r="S69"/>
      <c r="T69"/>
      <c r="U69"/>
    </row>
    <row r="70" spans="2:21" ht="15" customHeight="1" x14ac:dyDescent="0.25">
      <c r="B70" s="31"/>
      <c r="C70" s="31"/>
      <c r="D70" s="31"/>
      <c r="E70" s="31"/>
      <c r="F70" s="31"/>
      <c r="G70" s="31"/>
      <c r="H70" s="31"/>
      <c r="I70" s="31"/>
      <c r="J70" s="31"/>
      <c r="K70"/>
      <c r="L70"/>
      <c r="M70"/>
      <c r="N70"/>
      <c r="O70"/>
      <c r="P70"/>
      <c r="Q70"/>
      <c r="R70"/>
      <c r="S70"/>
      <c r="T70"/>
      <c r="U70"/>
    </row>
    <row r="71" spans="2:21" ht="15" customHeight="1" x14ac:dyDescent="0.25">
      <c r="B71" s="31"/>
      <c r="C71" s="31"/>
      <c r="D71" s="31"/>
      <c r="E71" s="31"/>
      <c r="F71" s="31"/>
      <c r="G71" s="31"/>
      <c r="H71" s="31"/>
      <c r="I71" s="31"/>
      <c r="J71" s="31"/>
      <c r="K71"/>
      <c r="L71"/>
      <c r="M71"/>
      <c r="N71"/>
      <c r="O71"/>
      <c r="P71"/>
      <c r="Q71"/>
      <c r="R71"/>
      <c r="S71"/>
      <c r="T71"/>
      <c r="U71"/>
    </row>
    <row r="72" spans="2:21" ht="15" customHeight="1" x14ac:dyDescent="0.25">
      <c r="B72" s="31"/>
      <c r="C72" s="31"/>
      <c r="D72" s="31"/>
      <c r="E72" s="31"/>
      <c r="F72" s="31"/>
      <c r="G72" s="31"/>
      <c r="H72" s="31"/>
      <c r="I72" s="31"/>
      <c r="J72" s="31"/>
      <c r="K72"/>
      <c r="L72"/>
      <c r="M72"/>
      <c r="N72"/>
      <c r="O72"/>
      <c r="P72"/>
      <c r="Q72"/>
      <c r="R72"/>
      <c r="S72"/>
      <c r="T72"/>
      <c r="U72"/>
    </row>
    <row r="73" spans="2:21" ht="15" customHeight="1" x14ac:dyDescent="0.25">
      <c r="B73" s="31"/>
      <c r="C73" s="31"/>
      <c r="D73" s="31"/>
      <c r="E73" s="31"/>
      <c r="F73" s="31"/>
      <c r="G73" s="31"/>
      <c r="H73" s="31"/>
      <c r="I73" s="31"/>
      <c r="J73" s="31"/>
      <c r="K73"/>
      <c r="L73"/>
      <c r="M73"/>
      <c r="N73"/>
      <c r="O73"/>
      <c r="P73"/>
      <c r="Q73"/>
      <c r="R73"/>
      <c r="S73"/>
      <c r="T73"/>
      <c r="U73"/>
    </row>
    <row r="74" spans="2:21" ht="15" customHeight="1" x14ac:dyDescent="0.25">
      <c r="B74" s="31"/>
      <c r="C74" s="31"/>
      <c r="D74" s="31"/>
      <c r="E74" s="31"/>
      <c r="F74" s="31"/>
      <c r="G74" s="31"/>
      <c r="H74" s="31"/>
      <c r="I74" s="31"/>
      <c r="J74" s="31"/>
      <c r="K74"/>
      <c r="L74"/>
      <c r="M74"/>
      <c r="N74"/>
      <c r="O74"/>
      <c r="P74"/>
      <c r="Q74"/>
      <c r="R74"/>
      <c r="S74"/>
      <c r="T74"/>
      <c r="U74"/>
    </row>
    <row r="75" spans="2:21" ht="15" customHeight="1" x14ac:dyDescent="0.25">
      <c r="B75" s="31"/>
      <c r="C75" s="31"/>
      <c r="D75" s="31"/>
      <c r="E75" s="31"/>
      <c r="F75" s="31"/>
      <c r="G75" s="31"/>
      <c r="H75" s="31"/>
      <c r="I75" s="31"/>
      <c r="J75" s="31"/>
      <c r="K75"/>
      <c r="L75"/>
      <c r="M75"/>
      <c r="N75"/>
      <c r="O75"/>
      <c r="P75"/>
      <c r="Q75"/>
      <c r="R75"/>
      <c r="S75"/>
      <c r="T75"/>
      <c r="U75"/>
    </row>
    <row r="76" spans="2:21" ht="15" customHeight="1" x14ac:dyDescent="0.25">
      <c r="B76" s="31"/>
      <c r="C76" s="31"/>
      <c r="D76" s="31"/>
      <c r="E76" s="31"/>
      <c r="F76" s="31"/>
      <c r="G76" s="31"/>
      <c r="H76" s="31"/>
      <c r="I76" s="31"/>
      <c r="J76" s="31"/>
      <c r="K76"/>
      <c r="L76"/>
      <c r="M76"/>
      <c r="N76"/>
      <c r="O76"/>
      <c r="P76"/>
      <c r="Q76"/>
      <c r="R76"/>
      <c r="S76"/>
      <c r="T76"/>
      <c r="U76"/>
    </row>
    <row r="77" spans="2:21" ht="15" customHeight="1" x14ac:dyDescent="0.25">
      <c r="B77" s="31"/>
      <c r="C77" s="31"/>
      <c r="D77" s="31"/>
      <c r="E77" s="31"/>
      <c r="F77" s="31"/>
      <c r="G77" s="31"/>
      <c r="H77" s="31"/>
      <c r="I77" s="31"/>
      <c r="J77" s="31"/>
      <c r="K77"/>
      <c r="L77"/>
      <c r="M77"/>
      <c r="N77"/>
      <c r="O77"/>
      <c r="P77"/>
      <c r="Q77"/>
      <c r="R77"/>
      <c r="S77"/>
      <c r="T77"/>
      <c r="U77"/>
    </row>
    <row r="78" spans="2:21" ht="15" customHeight="1" x14ac:dyDescent="0.25">
      <c r="B78" s="31"/>
      <c r="C78" s="31"/>
      <c r="D78" s="31"/>
      <c r="E78" s="31"/>
      <c r="F78" s="31"/>
      <c r="G78" s="31"/>
      <c r="H78" s="31"/>
      <c r="I78" s="31"/>
      <c r="J78" s="31"/>
      <c r="K78"/>
      <c r="L78"/>
      <c r="M78"/>
      <c r="N78"/>
      <c r="O78"/>
      <c r="P78"/>
      <c r="Q78"/>
      <c r="R78"/>
      <c r="S78"/>
      <c r="T78"/>
      <c r="U78"/>
    </row>
    <row r="79" spans="2:21" ht="15" customHeight="1" x14ac:dyDescent="0.25">
      <c r="B79" s="31"/>
      <c r="C79" s="31"/>
      <c r="D79" s="31"/>
      <c r="E79" s="31"/>
      <c r="F79" s="31"/>
      <c r="G79" s="31"/>
      <c r="H79" s="31"/>
      <c r="I79" s="31"/>
      <c r="J79" s="31"/>
      <c r="K79"/>
      <c r="L79"/>
      <c r="M79"/>
      <c r="N79"/>
      <c r="O79"/>
      <c r="P79"/>
      <c r="Q79"/>
      <c r="R79"/>
      <c r="S79"/>
      <c r="T79"/>
      <c r="U79"/>
    </row>
    <row r="80" spans="2:21" ht="15" customHeight="1" x14ac:dyDescent="0.25">
      <c r="B80" s="31"/>
      <c r="C80" s="31"/>
      <c r="D80" s="31"/>
      <c r="E80" s="31"/>
      <c r="F80" s="31"/>
      <c r="G80" s="31"/>
      <c r="H80" s="31"/>
      <c r="I80" s="31"/>
      <c r="J80" s="31"/>
      <c r="K80"/>
      <c r="L80"/>
      <c r="M80"/>
      <c r="N80"/>
      <c r="O80"/>
      <c r="P80"/>
      <c r="Q80"/>
      <c r="R80"/>
      <c r="S80"/>
      <c r="T80"/>
      <c r="U80"/>
    </row>
    <row r="81" spans="2:21" ht="15" customHeight="1" x14ac:dyDescent="0.25">
      <c r="B81" s="31"/>
      <c r="C81" s="31"/>
      <c r="D81" s="31"/>
      <c r="E81" s="31"/>
      <c r="F81" s="31"/>
      <c r="G81" s="31"/>
      <c r="H81" s="31"/>
      <c r="I81" s="31"/>
      <c r="J81" s="31"/>
      <c r="K81"/>
      <c r="L81"/>
      <c r="M81"/>
      <c r="N81"/>
      <c r="O81"/>
      <c r="P81"/>
      <c r="Q81"/>
      <c r="R81"/>
      <c r="S81"/>
      <c r="T81"/>
      <c r="U81"/>
    </row>
    <row r="82" spans="2:21" ht="15" customHeight="1" x14ac:dyDescent="0.25">
      <c r="B82" s="31"/>
      <c r="C82" s="31"/>
      <c r="D82" s="31"/>
      <c r="E82" s="31"/>
      <c r="F82" s="31"/>
      <c r="G82" s="31"/>
      <c r="H82" s="31"/>
      <c r="I82" s="31"/>
      <c r="J82" s="31"/>
      <c r="K82"/>
      <c r="L82"/>
      <c r="M82"/>
      <c r="N82"/>
      <c r="O82"/>
      <c r="P82"/>
      <c r="Q82"/>
      <c r="R82"/>
      <c r="S82"/>
      <c r="T82"/>
      <c r="U82"/>
    </row>
    <row r="83" spans="2:21" ht="15" customHeight="1" x14ac:dyDescent="0.25">
      <c r="B83" s="31"/>
      <c r="C83" s="31"/>
      <c r="D83" s="31"/>
      <c r="E83" s="31"/>
      <c r="F83" s="31"/>
      <c r="G83" s="31"/>
      <c r="H83" s="31"/>
      <c r="I83" s="31"/>
      <c r="J83" s="31"/>
      <c r="K83"/>
      <c r="L83"/>
      <c r="M83"/>
      <c r="N83"/>
      <c r="O83"/>
      <c r="P83"/>
      <c r="Q83"/>
      <c r="R83"/>
      <c r="S83"/>
      <c r="T83"/>
      <c r="U83"/>
    </row>
    <row r="84" spans="2:21" ht="15" customHeight="1" x14ac:dyDescent="0.25">
      <c r="B84" s="31"/>
      <c r="C84" s="31"/>
      <c r="D84" s="31"/>
      <c r="E84" s="31"/>
      <c r="F84" s="31"/>
      <c r="G84" s="31"/>
      <c r="H84" s="31"/>
      <c r="I84" s="31"/>
      <c r="J84" s="31"/>
      <c r="K84"/>
      <c r="L84"/>
      <c r="M84"/>
      <c r="N84"/>
      <c r="O84"/>
      <c r="P84"/>
      <c r="Q84"/>
      <c r="R84"/>
      <c r="S84"/>
      <c r="T84"/>
      <c r="U84"/>
    </row>
    <row r="85" spans="2:21" ht="15" customHeight="1" x14ac:dyDescent="0.25">
      <c r="B85" s="31"/>
      <c r="C85" s="31"/>
      <c r="D85" s="31"/>
      <c r="E85" s="31"/>
      <c r="F85" s="31"/>
      <c r="G85" s="31"/>
      <c r="H85" s="31"/>
      <c r="I85" s="31"/>
      <c r="J85" s="31"/>
      <c r="K85"/>
      <c r="L85"/>
      <c r="M85"/>
      <c r="N85"/>
      <c r="O85"/>
      <c r="P85"/>
      <c r="Q85"/>
      <c r="R85"/>
      <c r="S85"/>
      <c r="T85"/>
      <c r="U85"/>
    </row>
    <row r="86" spans="2:21" ht="15" customHeight="1" x14ac:dyDescent="0.25">
      <c r="B86" s="31"/>
      <c r="C86" s="31"/>
      <c r="D86" s="31"/>
      <c r="E86" s="31"/>
      <c r="F86" s="31"/>
      <c r="G86" s="31"/>
      <c r="H86" s="31"/>
      <c r="I86" s="31"/>
      <c r="J86" s="31"/>
      <c r="K86"/>
      <c r="L86"/>
      <c r="M86"/>
      <c r="N86"/>
      <c r="O86"/>
      <c r="P86"/>
      <c r="Q86"/>
      <c r="R86"/>
      <c r="S86"/>
      <c r="T86"/>
      <c r="U86"/>
    </row>
    <row r="87" spans="2:21" ht="15" customHeight="1" x14ac:dyDescent="0.25">
      <c r="B87" s="31"/>
      <c r="C87" s="31"/>
      <c r="D87" s="31"/>
      <c r="E87" s="31"/>
      <c r="F87" s="31"/>
      <c r="G87" s="31"/>
      <c r="H87" s="31"/>
      <c r="I87" s="31"/>
      <c r="J87" s="31"/>
      <c r="K87"/>
      <c r="L87"/>
      <c r="M87"/>
      <c r="N87"/>
      <c r="O87"/>
      <c r="P87"/>
      <c r="Q87"/>
      <c r="R87"/>
      <c r="S87"/>
      <c r="T87"/>
      <c r="U87"/>
    </row>
    <row r="88" spans="2:21" ht="15" customHeight="1" x14ac:dyDescent="0.25">
      <c r="B88" s="31"/>
      <c r="C88" s="31"/>
      <c r="D88" s="31"/>
      <c r="E88" s="31"/>
      <c r="F88" s="31"/>
      <c r="G88" s="31"/>
      <c r="H88" s="31"/>
      <c r="I88" s="31"/>
      <c r="J88" s="31"/>
      <c r="K88"/>
      <c r="L88"/>
      <c r="M88"/>
      <c r="N88"/>
      <c r="O88"/>
      <c r="P88"/>
      <c r="Q88"/>
      <c r="R88"/>
      <c r="S88"/>
      <c r="T88"/>
      <c r="U88"/>
    </row>
    <row r="89" spans="2:21" ht="15" customHeight="1" x14ac:dyDescent="0.25">
      <c r="B89" s="31"/>
      <c r="C89" s="31"/>
      <c r="D89" s="31"/>
      <c r="E89" s="31"/>
      <c r="F89" s="31"/>
      <c r="G89" s="31"/>
      <c r="H89" s="31"/>
      <c r="I89" s="31"/>
      <c r="J89" s="31"/>
      <c r="K89"/>
      <c r="L89"/>
      <c r="M89"/>
      <c r="N89"/>
      <c r="O89"/>
      <c r="P89"/>
      <c r="Q89"/>
      <c r="R89"/>
      <c r="S89"/>
      <c r="T89"/>
      <c r="U89"/>
    </row>
    <row r="90" spans="2:21" ht="15" customHeight="1" x14ac:dyDescent="0.25">
      <c r="B90" s="31"/>
      <c r="C90" s="31"/>
      <c r="D90" s="31"/>
      <c r="E90" s="31"/>
      <c r="F90" s="31"/>
      <c r="G90" s="31"/>
      <c r="H90" s="31"/>
      <c r="I90" s="31"/>
      <c r="J90" s="31"/>
      <c r="K90"/>
      <c r="L90"/>
      <c r="M90"/>
      <c r="N90"/>
      <c r="O90"/>
      <c r="P90"/>
      <c r="Q90"/>
      <c r="R90"/>
      <c r="S90"/>
      <c r="T90"/>
      <c r="U90"/>
    </row>
    <row r="91" spans="2:21" ht="15" customHeight="1" x14ac:dyDescent="0.25">
      <c r="B91" s="31"/>
      <c r="C91" s="31"/>
      <c r="D91" s="31"/>
      <c r="E91" s="31"/>
      <c r="F91" s="31"/>
      <c r="G91" s="31"/>
      <c r="H91" s="31"/>
      <c r="I91" s="31"/>
      <c r="J91" s="31"/>
      <c r="K91"/>
      <c r="L91"/>
      <c r="M91"/>
      <c r="N91"/>
      <c r="O91"/>
      <c r="P91"/>
      <c r="Q91"/>
      <c r="R91"/>
      <c r="S91"/>
      <c r="T91"/>
      <c r="U91"/>
    </row>
    <row r="92" spans="2:21" ht="15" customHeight="1" x14ac:dyDescent="0.25">
      <c r="B92" s="31"/>
      <c r="C92" s="31"/>
      <c r="D92" s="31"/>
      <c r="E92" s="31"/>
      <c r="F92" s="31"/>
      <c r="G92" s="31"/>
      <c r="H92" s="31"/>
      <c r="I92" s="31"/>
      <c r="J92" s="31"/>
      <c r="K92"/>
      <c r="L92"/>
      <c r="M92"/>
      <c r="N92"/>
      <c r="O92"/>
      <c r="P92"/>
      <c r="Q92"/>
      <c r="R92"/>
      <c r="S92"/>
      <c r="T92"/>
      <c r="U92"/>
    </row>
    <row r="93" spans="2:21" ht="15" customHeight="1" x14ac:dyDescent="0.25">
      <c r="B93" s="31"/>
      <c r="C93" s="31"/>
      <c r="D93" s="31"/>
      <c r="E93" s="31"/>
      <c r="F93" s="31"/>
      <c r="G93" s="31"/>
      <c r="H93" s="31"/>
      <c r="I93" s="31"/>
      <c r="J93" s="31"/>
      <c r="K93"/>
      <c r="L93"/>
      <c r="M93"/>
      <c r="N93"/>
      <c r="O93"/>
      <c r="P93"/>
      <c r="Q93"/>
      <c r="R93"/>
      <c r="S93"/>
      <c r="T93"/>
      <c r="U93"/>
    </row>
    <row r="94" spans="2:21" ht="15" customHeight="1" x14ac:dyDescent="0.25">
      <c r="B94" s="31"/>
      <c r="C94" s="31"/>
      <c r="D94" s="31"/>
      <c r="E94" s="31"/>
      <c r="F94" s="31"/>
      <c r="G94" s="31"/>
      <c r="H94" s="31"/>
      <c r="I94" s="31"/>
      <c r="J94" s="31"/>
      <c r="K94"/>
      <c r="L94"/>
      <c r="M94"/>
      <c r="N94"/>
      <c r="O94"/>
      <c r="P94"/>
      <c r="Q94"/>
      <c r="R94"/>
      <c r="S94"/>
      <c r="T94"/>
      <c r="U94"/>
    </row>
    <row r="95" spans="2:21" ht="15" customHeight="1" x14ac:dyDescent="0.25">
      <c r="B95" s="31"/>
      <c r="C95" s="31"/>
      <c r="D95" s="31"/>
      <c r="E95" s="31"/>
      <c r="F95" s="31"/>
      <c r="G95" s="31"/>
      <c r="H95" s="31"/>
      <c r="I95" s="31"/>
      <c r="J95" s="31"/>
      <c r="K95"/>
      <c r="L95"/>
      <c r="M95"/>
      <c r="N95"/>
      <c r="O95"/>
      <c r="P95"/>
      <c r="Q95"/>
      <c r="R95"/>
      <c r="S95"/>
      <c r="T95"/>
      <c r="U95"/>
    </row>
    <row r="96" spans="2:21" ht="15" customHeight="1" x14ac:dyDescent="0.25">
      <c r="B96" s="31"/>
      <c r="C96" s="31"/>
      <c r="D96" s="31"/>
      <c r="E96" s="31"/>
      <c r="F96" s="31"/>
      <c r="G96" s="31"/>
      <c r="H96" s="31"/>
      <c r="I96" s="31"/>
      <c r="J96" s="31"/>
      <c r="K96"/>
      <c r="L96"/>
      <c r="M96"/>
      <c r="N96"/>
      <c r="O96"/>
      <c r="P96"/>
      <c r="Q96"/>
      <c r="R96"/>
      <c r="S96"/>
      <c r="T96"/>
      <c r="U96"/>
    </row>
    <row r="97" spans="2:21" ht="15" customHeight="1" x14ac:dyDescent="0.25">
      <c r="B97" s="31"/>
      <c r="C97" s="31"/>
      <c r="D97" s="31"/>
      <c r="E97" s="31"/>
      <c r="F97" s="31"/>
      <c r="G97" s="31"/>
      <c r="H97" s="31"/>
      <c r="I97" s="31"/>
      <c r="J97" s="31"/>
      <c r="K97"/>
      <c r="L97"/>
      <c r="M97"/>
      <c r="N97"/>
      <c r="O97"/>
      <c r="P97"/>
      <c r="Q97"/>
      <c r="R97"/>
      <c r="S97"/>
      <c r="T97"/>
      <c r="U97"/>
    </row>
    <row r="98" spans="2:21" ht="15" customHeight="1" x14ac:dyDescent="0.25">
      <c r="B98" s="31"/>
      <c r="C98" s="31"/>
      <c r="D98" s="31"/>
      <c r="E98" s="31"/>
      <c r="F98" s="31"/>
      <c r="G98" s="31"/>
      <c r="H98" s="31"/>
      <c r="I98" s="31"/>
      <c r="J98" s="31"/>
      <c r="K98"/>
      <c r="L98"/>
      <c r="M98"/>
      <c r="N98"/>
      <c r="O98"/>
      <c r="P98"/>
      <c r="Q98"/>
      <c r="R98"/>
      <c r="S98"/>
      <c r="T98"/>
      <c r="U98"/>
    </row>
    <row r="99" spans="2:21" ht="15" customHeight="1" x14ac:dyDescent="0.25">
      <c r="B99" s="31"/>
      <c r="C99" s="31"/>
      <c r="D99" s="31"/>
      <c r="E99" s="31"/>
      <c r="F99" s="31"/>
      <c r="G99" s="31"/>
      <c r="H99" s="31"/>
      <c r="I99" s="31"/>
      <c r="J99" s="31"/>
      <c r="K99"/>
      <c r="L99"/>
      <c r="M99"/>
      <c r="N99"/>
      <c r="O99"/>
      <c r="P99"/>
      <c r="Q99"/>
      <c r="R99"/>
      <c r="S99"/>
      <c r="T99"/>
      <c r="U99"/>
    </row>
    <row r="100" spans="2:21" ht="15" customHeight="1" x14ac:dyDescent="0.25">
      <c r="B100" s="31"/>
      <c r="C100" s="31"/>
      <c r="D100" s="31"/>
      <c r="E100" s="31"/>
      <c r="F100" s="31"/>
      <c r="G100" s="31"/>
      <c r="H100" s="31"/>
      <c r="I100" s="31"/>
      <c r="J100" s="31"/>
      <c r="K100"/>
      <c r="L100"/>
      <c r="M100"/>
      <c r="N100"/>
      <c r="O100"/>
      <c r="P100"/>
      <c r="Q100"/>
      <c r="R100"/>
      <c r="S100"/>
      <c r="T100"/>
      <c r="U100"/>
    </row>
    <row r="101" spans="2:21" ht="15" customHeight="1" x14ac:dyDescent="0.25">
      <c r="B101" s="31"/>
      <c r="C101" s="31"/>
      <c r="D101" s="31"/>
      <c r="E101" s="31"/>
      <c r="F101" s="31"/>
      <c r="G101" s="31"/>
      <c r="H101" s="31"/>
      <c r="I101" s="31"/>
      <c r="J101" s="31"/>
      <c r="K101"/>
      <c r="L101"/>
      <c r="M101"/>
      <c r="N101"/>
      <c r="O101"/>
      <c r="P101"/>
      <c r="Q101"/>
      <c r="R101"/>
      <c r="S101"/>
      <c r="T101"/>
      <c r="U101"/>
    </row>
  </sheetData>
  <mergeCells count="1">
    <mergeCell ref="H1:I1"/>
  </mergeCells>
  <conditionalFormatting sqref="B1">
    <cfRule type="cellIs" dxfId="74" priority="1" operator="equal">
      <formula>"Incomplete"</formula>
    </cfRule>
    <cfRule type="cellIs" dxfId="73" priority="2" operator="equal">
      <formula>"Flag for Review"</formula>
    </cfRule>
    <cfRule type="cellIs" dxfId="72" priority="3" operator="equal">
      <formula>"Finished"</formula>
    </cfRule>
  </conditionalFormatting>
  <dataValidations count="1">
    <dataValidation type="list" allowBlank="1" showInputMessage="1" showErrorMessage="1" sqref="B1">
      <formula1>"Finished, Flag for Review, Incomplete"</formula1>
    </dataValidation>
  </dataValidations>
  <hyperlinks>
    <hyperlink ref="H1" location="'Point Grid'!A8" display="Return to Point Grid"/>
    <hyperlink ref="H1:I1" location="'Point Grid'!A1" display="Return to Point Grid"/>
  </hyperlink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/>
  <dimension ref="A1:U101"/>
  <sheetViews>
    <sheetView zoomScaleNormal="100" workbookViewId="0"/>
  </sheetViews>
  <sheetFormatPr defaultColWidth="9.140625" defaultRowHeight="15" x14ac:dyDescent="0.25"/>
  <cols>
    <col min="1" max="1" width="9.140625" style="21"/>
    <col min="2" max="2" width="16" style="21" bestFit="1" customWidth="1"/>
    <col min="3" max="9" width="11.140625" style="21" customWidth="1"/>
    <col min="10" max="16384" width="9.140625" style="21"/>
  </cols>
  <sheetData>
    <row r="1" spans="1:21" x14ac:dyDescent="0.25">
      <c r="A1" s="7">
        <v>7</v>
      </c>
      <c r="B1" s="27" t="s">
        <v>12</v>
      </c>
      <c r="C1" s="20"/>
      <c r="D1" s="20"/>
      <c r="E1" s="20"/>
      <c r="F1" s="20"/>
      <c r="G1" s="20"/>
      <c r="H1" s="384" t="s">
        <v>24</v>
      </c>
      <c r="I1" s="385"/>
      <c r="K1"/>
      <c r="L1"/>
      <c r="M1"/>
      <c r="N1"/>
      <c r="O1"/>
      <c r="P1"/>
      <c r="Q1"/>
      <c r="R1"/>
      <c r="S1"/>
      <c r="T1"/>
      <c r="U1"/>
    </row>
    <row r="2" spans="1:21" x14ac:dyDescent="0.25">
      <c r="A2" s="22"/>
      <c r="B2" s="19"/>
      <c r="C2" s="19"/>
      <c r="D2" s="19"/>
      <c r="E2" s="19"/>
      <c r="F2" s="19"/>
      <c r="G2" s="19"/>
      <c r="H2" s="19"/>
      <c r="I2" s="23"/>
      <c r="K2"/>
      <c r="L2"/>
      <c r="M2"/>
      <c r="N2"/>
      <c r="O2"/>
      <c r="P2"/>
      <c r="Q2"/>
      <c r="R2"/>
      <c r="S2"/>
      <c r="T2"/>
      <c r="U2"/>
    </row>
    <row r="3" spans="1:21" x14ac:dyDescent="0.25">
      <c r="A3" s="8" t="s">
        <v>13</v>
      </c>
      <c r="B3" s="17"/>
      <c r="C3" s="17"/>
      <c r="D3" s="17"/>
      <c r="E3" s="17"/>
      <c r="F3" s="17"/>
      <c r="G3" s="17"/>
      <c r="H3" s="17"/>
      <c r="I3" s="18"/>
      <c r="J3" s="31"/>
      <c r="K3"/>
      <c r="L3"/>
      <c r="M3"/>
      <c r="N3"/>
      <c r="O3"/>
      <c r="P3"/>
      <c r="Q3"/>
      <c r="R3"/>
      <c r="S3"/>
      <c r="T3"/>
      <c r="U3"/>
    </row>
    <row r="4" spans="1:21" x14ac:dyDescent="0.25">
      <c r="A4" s="9">
        <f>INDEX('Point Grid'!B:B,MATCH(A1,'Point Grid'!A:A,0))</f>
        <v>2</v>
      </c>
      <c r="B4" s="17"/>
      <c r="C4" s="17"/>
      <c r="D4" s="17"/>
      <c r="E4" s="17"/>
      <c r="F4" s="17"/>
      <c r="G4" s="17"/>
      <c r="H4" s="17"/>
      <c r="I4" s="18"/>
      <c r="J4" s="31"/>
      <c r="K4"/>
      <c r="L4"/>
      <c r="M4"/>
      <c r="N4"/>
      <c r="O4"/>
      <c r="P4"/>
      <c r="Q4"/>
      <c r="R4"/>
      <c r="S4"/>
      <c r="T4"/>
      <c r="U4"/>
    </row>
    <row r="5" spans="1:21" x14ac:dyDescent="0.25">
      <c r="A5" s="16"/>
      <c r="B5" s="17"/>
      <c r="C5" s="17"/>
      <c r="D5" s="17"/>
      <c r="E5" s="17"/>
      <c r="F5" s="17"/>
      <c r="G5" s="17"/>
      <c r="H5" s="17"/>
      <c r="I5" s="18"/>
      <c r="J5" s="31"/>
      <c r="K5"/>
      <c r="L5"/>
      <c r="M5"/>
      <c r="N5"/>
      <c r="O5"/>
      <c r="P5"/>
      <c r="Q5"/>
      <c r="R5"/>
      <c r="S5"/>
      <c r="T5"/>
      <c r="U5"/>
    </row>
    <row r="6" spans="1:21" x14ac:dyDescent="0.25">
      <c r="A6" s="25" t="s">
        <v>2</v>
      </c>
      <c r="B6" s="17" t="s">
        <v>57</v>
      </c>
      <c r="C6" s="17"/>
      <c r="D6" s="17"/>
      <c r="E6" s="17"/>
      <c r="F6" s="17"/>
      <c r="G6" s="17"/>
      <c r="H6" s="17"/>
      <c r="I6" s="18"/>
      <c r="J6" s="31"/>
      <c r="K6"/>
      <c r="L6"/>
      <c r="M6"/>
      <c r="N6"/>
      <c r="O6"/>
      <c r="P6"/>
      <c r="Q6"/>
      <c r="R6"/>
      <c r="S6"/>
      <c r="T6"/>
      <c r="U6"/>
    </row>
    <row r="7" spans="1:21" ht="15.75" thickBot="1" x14ac:dyDescent="0.3">
      <c r="A7" s="9">
        <f>INDEX('Point Grid'!$C$8:$I$54,MATCH($A$1,'Point Grid'!$A$8:$A$54,0),MATCH(A6,'Point Grid'!$C$7:$I$7,0))</f>
        <v>0.75</v>
      </c>
      <c r="B7" s="17" t="s">
        <v>58</v>
      </c>
      <c r="C7" s="17"/>
      <c r="D7" s="17"/>
      <c r="E7" s="17"/>
      <c r="F7" s="17"/>
      <c r="G7" s="17"/>
      <c r="H7" s="17"/>
      <c r="I7" s="18"/>
      <c r="J7" s="31"/>
      <c r="K7"/>
      <c r="L7"/>
      <c r="M7"/>
      <c r="N7"/>
      <c r="O7"/>
      <c r="P7"/>
      <c r="Q7"/>
      <c r="R7"/>
      <c r="S7"/>
      <c r="T7"/>
      <c r="U7"/>
    </row>
    <row r="8" spans="1:21" ht="15.75" thickBot="1" x14ac:dyDescent="0.3">
      <c r="A8" s="5"/>
      <c r="B8" s="17"/>
      <c r="C8" s="28"/>
      <c r="D8" s="28"/>
      <c r="E8" s="28"/>
      <c r="F8" s="28"/>
      <c r="G8" s="28"/>
      <c r="H8" s="28"/>
      <c r="I8" s="18"/>
      <c r="J8" s="31"/>
      <c r="K8"/>
      <c r="L8"/>
      <c r="M8"/>
      <c r="N8"/>
      <c r="O8"/>
      <c r="P8"/>
      <c r="Q8"/>
      <c r="R8"/>
      <c r="S8"/>
      <c r="T8"/>
      <c r="U8"/>
    </row>
    <row r="9" spans="1:21" x14ac:dyDescent="0.25">
      <c r="A9" s="25"/>
      <c r="B9" s="17"/>
      <c r="C9" s="17"/>
      <c r="D9" s="17"/>
      <c r="E9" s="17"/>
      <c r="F9" s="17"/>
      <c r="G9" s="17"/>
      <c r="H9" s="17"/>
      <c r="I9" s="18"/>
      <c r="J9" s="31"/>
      <c r="K9"/>
      <c r="L9"/>
      <c r="M9"/>
      <c r="N9"/>
      <c r="O9"/>
      <c r="P9"/>
      <c r="Q9"/>
      <c r="R9"/>
      <c r="S9"/>
      <c r="T9"/>
      <c r="U9"/>
    </row>
    <row r="10" spans="1:21" x14ac:dyDescent="0.25">
      <c r="A10" s="25" t="s">
        <v>3</v>
      </c>
      <c r="B10" s="17" t="s">
        <v>59</v>
      </c>
      <c r="C10" s="17"/>
      <c r="D10" s="17"/>
      <c r="E10" s="17"/>
      <c r="F10" s="17"/>
      <c r="G10" s="17"/>
      <c r="H10" s="17"/>
      <c r="I10" s="18"/>
      <c r="J10" s="31"/>
      <c r="K10"/>
      <c r="L10"/>
      <c r="M10"/>
      <c r="N10"/>
      <c r="O10"/>
      <c r="P10"/>
      <c r="Q10"/>
      <c r="R10"/>
      <c r="S10"/>
      <c r="T10"/>
      <c r="U10"/>
    </row>
    <row r="11" spans="1:21" ht="15.75" thickBot="1" x14ac:dyDescent="0.3">
      <c r="A11" s="9">
        <f>INDEX('Point Grid'!$C$8:$I$54,MATCH($A$1,'Point Grid'!$A$8:$A$54,0),MATCH(A10,'Point Grid'!$C$7:$I$7,0))</f>
        <v>0.75</v>
      </c>
      <c r="B11" s="17"/>
      <c r="C11" s="17"/>
      <c r="D11" s="17"/>
      <c r="E11" s="17"/>
      <c r="F11" s="17"/>
      <c r="G11" s="17"/>
      <c r="H11" s="17"/>
      <c r="I11" s="18"/>
      <c r="J11" s="31"/>
      <c r="K11"/>
      <c r="L11"/>
      <c r="M11"/>
      <c r="N11"/>
      <c r="O11"/>
      <c r="P11"/>
      <c r="Q11"/>
      <c r="R11"/>
      <c r="S11"/>
      <c r="T11"/>
      <c r="U11"/>
    </row>
    <row r="12" spans="1:21" ht="15.75" thickBot="1" x14ac:dyDescent="0.3">
      <c r="A12" s="5"/>
      <c r="B12" s="17"/>
      <c r="C12" s="28"/>
      <c r="D12" s="28"/>
      <c r="E12" s="28"/>
      <c r="F12" s="28"/>
      <c r="G12" s="28"/>
      <c r="H12" s="28"/>
      <c r="I12" s="18"/>
      <c r="J12" s="31"/>
      <c r="K12"/>
      <c r="L12"/>
      <c r="M12"/>
      <c r="N12"/>
      <c r="O12"/>
      <c r="P12"/>
      <c r="Q12"/>
      <c r="R12"/>
      <c r="S12"/>
      <c r="T12"/>
      <c r="U12"/>
    </row>
    <row r="13" spans="1:21" x14ac:dyDescent="0.25">
      <c r="A13" s="25"/>
      <c r="B13" s="17"/>
      <c r="C13" s="28"/>
      <c r="D13" s="28"/>
      <c r="E13" s="28"/>
      <c r="F13" s="28"/>
      <c r="G13" s="28"/>
      <c r="H13" s="28"/>
      <c r="I13" s="18"/>
      <c r="J13" s="31"/>
      <c r="K13"/>
      <c r="L13"/>
      <c r="M13"/>
      <c r="N13"/>
      <c r="O13"/>
      <c r="P13"/>
      <c r="Q13"/>
      <c r="R13"/>
      <c r="S13"/>
      <c r="T13"/>
      <c r="U13"/>
    </row>
    <row r="14" spans="1:21" x14ac:dyDescent="0.25">
      <c r="A14" s="25" t="s">
        <v>4</v>
      </c>
      <c r="B14" s="17" t="s">
        <v>418</v>
      </c>
      <c r="C14" s="17"/>
      <c r="D14" s="17"/>
      <c r="E14" s="17"/>
      <c r="F14" s="17"/>
      <c r="G14" s="17"/>
      <c r="H14" s="17"/>
      <c r="I14" s="18"/>
      <c r="J14" s="31"/>
      <c r="K14"/>
      <c r="L14"/>
      <c r="M14"/>
      <c r="N14"/>
      <c r="O14"/>
      <c r="P14"/>
      <c r="Q14"/>
      <c r="R14"/>
      <c r="S14"/>
      <c r="T14"/>
      <c r="U14"/>
    </row>
    <row r="15" spans="1:21" ht="15.75" thickBot="1" x14ac:dyDescent="0.3">
      <c r="A15" s="9">
        <f>INDEX('Point Grid'!$C$8:$I$54,MATCH($A$1,'Point Grid'!$A$8:$A$54,0),MATCH(A14,'Point Grid'!$C$7:$I$7,0))</f>
        <v>0.5</v>
      </c>
      <c r="B15" s="17" t="s">
        <v>60</v>
      </c>
      <c r="C15" s="17"/>
      <c r="D15" s="17"/>
      <c r="E15" s="17"/>
      <c r="F15" s="17"/>
      <c r="G15" s="17"/>
      <c r="H15" s="17"/>
      <c r="I15" s="18"/>
      <c r="J15" s="31"/>
      <c r="K15"/>
      <c r="L15"/>
      <c r="M15"/>
      <c r="N15"/>
      <c r="O15"/>
      <c r="P15"/>
      <c r="Q15"/>
      <c r="R15"/>
      <c r="S15"/>
      <c r="T15"/>
      <c r="U15"/>
    </row>
    <row r="16" spans="1:21" ht="15.75" thickBot="1" x14ac:dyDescent="0.3">
      <c r="A16" s="5"/>
      <c r="B16" s="35"/>
      <c r="C16" s="17"/>
      <c r="D16" s="17"/>
      <c r="E16" s="17"/>
      <c r="F16" s="17"/>
      <c r="G16" s="17"/>
      <c r="H16" s="17"/>
      <c r="I16" s="18"/>
      <c r="J16" s="31"/>
      <c r="K16"/>
      <c r="L16"/>
      <c r="M16"/>
      <c r="N16"/>
      <c r="O16"/>
      <c r="P16"/>
      <c r="Q16"/>
      <c r="R16"/>
      <c r="S16"/>
      <c r="T16"/>
      <c r="U16"/>
    </row>
    <row r="17" spans="1:21" x14ac:dyDescent="0.25">
      <c r="A17" s="22"/>
      <c r="B17" s="35" t="s">
        <v>61</v>
      </c>
      <c r="C17" s="17" t="s">
        <v>63</v>
      </c>
      <c r="D17" s="17"/>
      <c r="E17" s="17"/>
      <c r="F17" s="17"/>
      <c r="G17" s="17"/>
      <c r="H17" s="17"/>
      <c r="I17" s="18"/>
      <c r="J17" s="31"/>
      <c r="K17"/>
      <c r="L17"/>
      <c r="M17"/>
      <c r="N17"/>
      <c r="O17"/>
      <c r="P17"/>
      <c r="Q17"/>
      <c r="R17"/>
      <c r="S17"/>
      <c r="T17"/>
      <c r="U17"/>
    </row>
    <row r="18" spans="1:21" ht="15" customHeight="1" x14ac:dyDescent="0.25">
      <c r="A18" s="22"/>
      <c r="B18" s="35" t="s">
        <v>62</v>
      </c>
      <c r="C18" s="17" t="s">
        <v>64</v>
      </c>
      <c r="D18" s="17"/>
      <c r="E18" s="17"/>
      <c r="F18" s="17"/>
      <c r="G18" s="17"/>
      <c r="H18" s="17"/>
      <c r="I18" s="18"/>
      <c r="J18" s="31"/>
      <c r="K18"/>
      <c r="L18"/>
      <c r="M18"/>
      <c r="N18"/>
      <c r="O18"/>
      <c r="P18"/>
      <c r="Q18"/>
      <c r="R18"/>
      <c r="S18"/>
      <c r="T18"/>
      <c r="U18"/>
    </row>
    <row r="19" spans="1:21" ht="15" customHeight="1" x14ac:dyDescent="0.25">
      <c r="A19" s="22"/>
      <c r="B19" s="17"/>
      <c r="C19" s="17"/>
      <c r="D19" s="17"/>
      <c r="E19" s="17"/>
      <c r="F19" s="17"/>
      <c r="G19" s="17"/>
      <c r="H19" s="17"/>
      <c r="I19" s="18"/>
      <c r="J19" s="31"/>
      <c r="K19"/>
      <c r="L19"/>
      <c r="M19"/>
      <c r="N19"/>
      <c r="O19"/>
      <c r="P19"/>
      <c r="Q19"/>
      <c r="R19"/>
      <c r="S19"/>
      <c r="T19"/>
      <c r="U19"/>
    </row>
    <row r="20" spans="1:21" ht="15" customHeight="1" x14ac:dyDescent="0.25">
      <c r="A20" s="22"/>
      <c r="B20" s="17"/>
      <c r="C20" s="17"/>
      <c r="D20" s="17"/>
      <c r="E20" s="17"/>
      <c r="F20" s="17"/>
      <c r="G20" s="17"/>
      <c r="H20" s="17"/>
      <c r="I20" s="18"/>
      <c r="J20" s="31"/>
      <c r="K20"/>
      <c r="L20"/>
      <c r="M20"/>
      <c r="N20"/>
      <c r="O20"/>
      <c r="P20"/>
      <c r="Q20"/>
      <c r="R20"/>
      <c r="S20"/>
      <c r="T20"/>
      <c r="U20"/>
    </row>
    <row r="21" spans="1:21" ht="15" customHeight="1" x14ac:dyDescent="0.25">
      <c r="A21" s="22"/>
      <c r="B21" s="17"/>
      <c r="C21" s="17"/>
      <c r="D21" s="17"/>
      <c r="E21" s="17"/>
      <c r="F21" s="17"/>
      <c r="G21" s="17"/>
      <c r="H21" s="17"/>
      <c r="I21" s="18"/>
      <c r="J21" s="31"/>
      <c r="K21"/>
      <c r="L21"/>
      <c r="M21"/>
      <c r="N21"/>
      <c r="O21"/>
      <c r="P21"/>
      <c r="Q21"/>
      <c r="R21"/>
      <c r="S21"/>
      <c r="T21"/>
      <c r="U21"/>
    </row>
    <row r="22" spans="1:21" ht="15" customHeight="1" x14ac:dyDescent="0.25">
      <c r="A22" s="22"/>
      <c r="B22" s="17"/>
      <c r="C22" s="17"/>
      <c r="D22" s="17"/>
      <c r="E22" s="17"/>
      <c r="F22" s="17"/>
      <c r="G22" s="17"/>
      <c r="H22" s="17"/>
      <c r="I22" s="18"/>
      <c r="J22" s="31"/>
      <c r="K22"/>
      <c r="L22"/>
      <c r="M22"/>
      <c r="N22"/>
      <c r="O22"/>
      <c r="P22"/>
      <c r="Q22"/>
      <c r="R22"/>
      <c r="S22"/>
      <c r="T22"/>
      <c r="U22"/>
    </row>
    <row r="23" spans="1:21" ht="15" customHeight="1" x14ac:dyDescent="0.25">
      <c r="A23" s="22"/>
      <c r="B23" s="17"/>
      <c r="C23" s="17"/>
      <c r="D23" s="17"/>
      <c r="E23" s="17"/>
      <c r="F23" s="17"/>
      <c r="G23" s="17"/>
      <c r="H23" s="17"/>
      <c r="I23" s="18"/>
      <c r="J23" s="31"/>
      <c r="K23"/>
      <c r="L23"/>
      <c r="M23"/>
      <c r="N23"/>
      <c r="O23"/>
      <c r="P23"/>
      <c r="Q23"/>
      <c r="R23"/>
      <c r="S23"/>
      <c r="T23"/>
      <c r="U23"/>
    </row>
    <row r="24" spans="1:21" ht="15" customHeight="1" x14ac:dyDescent="0.25">
      <c r="A24" s="22"/>
      <c r="B24" s="17"/>
      <c r="C24" s="17"/>
      <c r="D24" s="17"/>
      <c r="E24" s="17"/>
      <c r="F24" s="17"/>
      <c r="G24" s="17"/>
      <c r="H24" s="17"/>
      <c r="I24" s="18"/>
      <c r="J24" s="31"/>
      <c r="K24"/>
      <c r="L24"/>
      <c r="M24"/>
      <c r="N24"/>
      <c r="O24"/>
      <c r="P24"/>
      <c r="Q24"/>
      <c r="R24"/>
      <c r="S24"/>
      <c r="T24"/>
      <c r="U24"/>
    </row>
    <row r="25" spans="1:21" ht="15" customHeight="1" x14ac:dyDescent="0.25">
      <c r="A25" s="22"/>
      <c r="B25" s="17"/>
      <c r="C25" s="17"/>
      <c r="D25" s="17"/>
      <c r="E25" s="17"/>
      <c r="F25" s="17"/>
      <c r="G25" s="17"/>
      <c r="H25" s="17"/>
      <c r="I25" s="18"/>
      <c r="J25" s="31"/>
      <c r="K25"/>
      <c r="L25"/>
      <c r="M25"/>
      <c r="N25"/>
      <c r="O25"/>
      <c r="P25"/>
      <c r="Q25"/>
      <c r="R25"/>
      <c r="S25"/>
      <c r="T25"/>
      <c r="U25"/>
    </row>
    <row r="26" spans="1:21" ht="15" customHeight="1" x14ac:dyDescent="0.25">
      <c r="A26" s="22"/>
      <c r="B26" s="17"/>
      <c r="C26" s="17"/>
      <c r="D26" s="17"/>
      <c r="E26" s="17"/>
      <c r="F26" s="17"/>
      <c r="G26" s="17"/>
      <c r="H26" s="17"/>
      <c r="I26" s="18"/>
      <c r="J26" s="31"/>
      <c r="K26"/>
      <c r="L26"/>
      <c r="M26"/>
      <c r="N26"/>
      <c r="O26"/>
      <c r="P26"/>
      <c r="Q26"/>
      <c r="R26"/>
      <c r="S26"/>
      <c r="T26"/>
      <c r="U26"/>
    </row>
    <row r="27" spans="1:21" ht="15" customHeight="1" x14ac:dyDescent="0.25">
      <c r="A27" s="22"/>
      <c r="B27" s="17"/>
      <c r="C27" s="17"/>
      <c r="D27" s="17"/>
      <c r="E27" s="17"/>
      <c r="F27" s="17"/>
      <c r="G27" s="17"/>
      <c r="H27" s="17"/>
      <c r="I27" s="18"/>
      <c r="J27" s="31"/>
      <c r="K27"/>
      <c r="L27"/>
      <c r="M27"/>
      <c r="N27"/>
      <c r="O27"/>
      <c r="P27"/>
      <c r="Q27"/>
      <c r="R27"/>
      <c r="S27"/>
      <c r="T27"/>
      <c r="U27"/>
    </row>
    <row r="28" spans="1:21" ht="15" customHeight="1" x14ac:dyDescent="0.25">
      <c r="A28" s="22"/>
      <c r="B28" s="17"/>
      <c r="C28" s="17"/>
      <c r="D28" s="17"/>
      <c r="E28" s="17"/>
      <c r="F28" s="17"/>
      <c r="G28" s="17"/>
      <c r="H28" s="17"/>
      <c r="I28" s="18"/>
      <c r="J28" s="31"/>
      <c r="K28"/>
      <c r="L28"/>
      <c r="M28"/>
      <c r="N28"/>
      <c r="O28"/>
      <c r="P28"/>
      <c r="Q28"/>
      <c r="R28"/>
      <c r="S28"/>
      <c r="T28"/>
      <c r="U28"/>
    </row>
    <row r="29" spans="1:21" ht="15" customHeight="1" x14ac:dyDescent="0.25">
      <c r="A29" s="22"/>
      <c r="B29" s="17"/>
      <c r="C29" s="17"/>
      <c r="D29" s="17"/>
      <c r="E29" s="17"/>
      <c r="F29" s="17"/>
      <c r="G29" s="17"/>
      <c r="H29" s="17"/>
      <c r="I29" s="18"/>
      <c r="J29" s="31"/>
      <c r="K29"/>
      <c r="L29"/>
      <c r="M29"/>
      <c r="N29"/>
      <c r="O29"/>
      <c r="P29"/>
      <c r="Q29"/>
      <c r="R29"/>
      <c r="S29"/>
      <c r="T29"/>
      <c r="U29"/>
    </row>
    <row r="30" spans="1:21" ht="15" customHeight="1" thickBot="1" x14ac:dyDescent="0.3">
      <c r="A30" s="24"/>
      <c r="B30" s="32"/>
      <c r="C30" s="32"/>
      <c r="D30" s="32"/>
      <c r="E30" s="32"/>
      <c r="F30" s="32"/>
      <c r="G30" s="32"/>
      <c r="H30" s="32"/>
      <c r="I30" s="33"/>
      <c r="J30" s="31"/>
      <c r="K30"/>
      <c r="L30"/>
      <c r="M30"/>
      <c r="N30"/>
      <c r="O30"/>
      <c r="P30"/>
      <c r="Q30"/>
      <c r="R30"/>
      <c r="S30"/>
      <c r="T30"/>
      <c r="U30"/>
    </row>
    <row r="31" spans="1:21" ht="15" customHeight="1" x14ac:dyDescent="0.25">
      <c r="B31" s="31"/>
      <c r="C31" s="31"/>
      <c r="D31" s="31"/>
      <c r="E31" s="31"/>
      <c r="F31" s="31"/>
      <c r="G31" s="31"/>
      <c r="H31" s="31"/>
      <c r="I31" s="31"/>
      <c r="J31" s="31"/>
      <c r="K31"/>
      <c r="L31"/>
      <c r="M31"/>
      <c r="N31"/>
      <c r="O31"/>
      <c r="P31"/>
      <c r="Q31"/>
      <c r="R31"/>
      <c r="S31"/>
      <c r="T31"/>
      <c r="U31"/>
    </row>
    <row r="32" spans="1:21" ht="15" customHeight="1" x14ac:dyDescent="0.25">
      <c r="J32" s="31"/>
      <c r="K32"/>
      <c r="L32"/>
      <c r="M32"/>
      <c r="N32"/>
      <c r="O32"/>
      <c r="P32"/>
      <c r="Q32"/>
      <c r="R32"/>
      <c r="S32"/>
      <c r="T32"/>
      <c r="U32"/>
    </row>
    <row r="33" spans="2:21" ht="15" customHeight="1" x14ac:dyDescent="0.25">
      <c r="J33" s="31"/>
      <c r="K33"/>
      <c r="L33"/>
      <c r="M33"/>
      <c r="N33"/>
      <c r="O33"/>
      <c r="P33"/>
      <c r="Q33"/>
      <c r="R33"/>
      <c r="S33"/>
      <c r="T33"/>
      <c r="U33"/>
    </row>
    <row r="34" spans="2:21" ht="15" customHeight="1" x14ac:dyDescent="0.25">
      <c r="J34" s="31"/>
      <c r="K34"/>
      <c r="L34"/>
      <c r="M34"/>
      <c r="N34"/>
      <c r="O34"/>
      <c r="P34"/>
      <c r="Q34"/>
      <c r="R34"/>
      <c r="S34"/>
      <c r="T34"/>
      <c r="U34"/>
    </row>
    <row r="35" spans="2:21" ht="15" customHeight="1" x14ac:dyDescent="0.25">
      <c r="J35" s="31"/>
      <c r="K35"/>
      <c r="L35"/>
      <c r="M35"/>
      <c r="N35"/>
      <c r="O35"/>
      <c r="P35"/>
      <c r="Q35"/>
      <c r="R35"/>
      <c r="S35"/>
      <c r="T35"/>
      <c r="U35"/>
    </row>
    <row r="36" spans="2:21" ht="15" customHeight="1" x14ac:dyDescent="0.25">
      <c r="J36" s="31"/>
      <c r="K36"/>
      <c r="L36"/>
      <c r="M36"/>
      <c r="N36"/>
      <c r="O36"/>
      <c r="P36"/>
      <c r="Q36"/>
      <c r="R36"/>
      <c r="S36"/>
      <c r="T36"/>
      <c r="U36"/>
    </row>
    <row r="37" spans="2:21" ht="15" customHeight="1" x14ac:dyDescent="0.25">
      <c r="J37" s="31"/>
      <c r="K37"/>
      <c r="L37"/>
      <c r="M37"/>
      <c r="N37"/>
      <c r="O37"/>
      <c r="P37"/>
      <c r="Q37"/>
      <c r="R37"/>
      <c r="S37"/>
      <c r="T37"/>
      <c r="U37"/>
    </row>
    <row r="38" spans="2:21" ht="15" customHeight="1" x14ac:dyDescent="0.25">
      <c r="J38" s="31"/>
      <c r="K38"/>
      <c r="L38"/>
      <c r="M38"/>
      <c r="N38"/>
      <c r="O38"/>
      <c r="P38"/>
      <c r="Q38"/>
      <c r="R38"/>
      <c r="S38"/>
      <c r="T38"/>
      <c r="U38"/>
    </row>
    <row r="39" spans="2:21" ht="15" customHeight="1" x14ac:dyDescent="0.25">
      <c r="J39" s="31"/>
      <c r="K39"/>
      <c r="L39"/>
      <c r="M39"/>
      <c r="N39"/>
      <c r="O39"/>
      <c r="P39"/>
      <c r="Q39"/>
      <c r="R39"/>
      <c r="S39"/>
      <c r="T39"/>
      <c r="U39"/>
    </row>
    <row r="40" spans="2:21" ht="15" customHeight="1" x14ac:dyDescent="0.25">
      <c r="J40" s="31"/>
      <c r="K40"/>
      <c r="L40"/>
      <c r="M40"/>
      <c r="N40"/>
      <c r="O40"/>
      <c r="P40"/>
      <c r="Q40"/>
      <c r="R40"/>
      <c r="S40"/>
      <c r="T40"/>
      <c r="U40"/>
    </row>
    <row r="41" spans="2:21" ht="15" customHeight="1" x14ac:dyDescent="0.25">
      <c r="J41" s="31"/>
      <c r="K41"/>
      <c r="L41"/>
      <c r="M41"/>
      <c r="N41"/>
      <c r="O41"/>
      <c r="P41"/>
      <c r="Q41"/>
      <c r="R41"/>
      <c r="S41"/>
      <c r="T41"/>
      <c r="U41"/>
    </row>
    <row r="42" spans="2:21" ht="15" customHeight="1" x14ac:dyDescent="0.25">
      <c r="J42" s="31"/>
      <c r="K42"/>
      <c r="L42"/>
      <c r="M42"/>
      <c r="N42"/>
      <c r="O42"/>
      <c r="P42"/>
      <c r="Q42"/>
      <c r="R42"/>
      <c r="S42"/>
      <c r="T42"/>
      <c r="U42"/>
    </row>
    <row r="43" spans="2:21" ht="15" customHeight="1" x14ac:dyDescent="0.25">
      <c r="J43" s="31"/>
      <c r="K43"/>
      <c r="L43"/>
      <c r="M43"/>
      <c r="N43"/>
      <c r="O43"/>
      <c r="P43"/>
      <c r="Q43"/>
      <c r="R43"/>
      <c r="S43"/>
      <c r="T43"/>
      <c r="U43"/>
    </row>
    <row r="44" spans="2:21" ht="15" customHeight="1" x14ac:dyDescent="0.25">
      <c r="J44" s="31"/>
      <c r="K44"/>
      <c r="L44"/>
      <c r="M44"/>
      <c r="N44"/>
      <c r="O44"/>
      <c r="P44"/>
      <c r="Q44"/>
      <c r="R44"/>
      <c r="S44"/>
      <c r="T44"/>
      <c r="U44"/>
    </row>
    <row r="45" spans="2:21" ht="15" customHeight="1" x14ac:dyDescent="0.25">
      <c r="J45" s="31"/>
      <c r="K45"/>
      <c r="L45"/>
      <c r="M45"/>
      <c r="N45"/>
      <c r="O45"/>
      <c r="P45"/>
      <c r="Q45"/>
      <c r="R45"/>
      <c r="S45"/>
      <c r="T45"/>
      <c r="U45"/>
    </row>
    <row r="46" spans="2:21" ht="15" customHeight="1" x14ac:dyDescent="0.25">
      <c r="B46" s="31"/>
      <c r="C46" s="31"/>
      <c r="D46" s="31"/>
      <c r="E46" s="31"/>
      <c r="F46" s="31"/>
      <c r="G46" s="31"/>
      <c r="H46" s="31"/>
      <c r="I46" s="31"/>
      <c r="J46" s="31"/>
      <c r="K46"/>
      <c r="L46"/>
      <c r="M46"/>
      <c r="N46"/>
      <c r="O46"/>
      <c r="P46"/>
      <c r="Q46"/>
      <c r="R46"/>
      <c r="S46"/>
      <c r="T46"/>
      <c r="U46"/>
    </row>
    <row r="47" spans="2:21" ht="15" customHeight="1" x14ac:dyDescent="0.25">
      <c r="B47" s="31"/>
      <c r="C47" s="31"/>
      <c r="D47" s="31"/>
      <c r="E47" s="31"/>
      <c r="F47" s="31"/>
      <c r="G47" s="31"/>
      <c r="H47" s="31"/>
      <c r="I47" s="31"/>
      <c r="J47" s="31"/>
      <c r="K47"/>
      <c r="L47"/>
      <c r="M47"/>
      <c r="N47"/>
      <c r="O47"/>
      <c r="P47"/>
      <c r="Q47"/>
      <c r="R47"/>
      <c r="S47"/>
      <c r="T47"/>
      <c r="U47"/>
    </row>
    <row r="48" spans="2:21" ht="15" customHeight="1" x14ac:dyDescent="0.25">
      <c r="B48" s="31"/>
      <c r="C48" s="31"/>
      <c r="D48" s="31"/>
      <c r="E48" s="31"/>
      <c r="F48" s="31"/>
      <c r="G48" s="31"/>
      <c r="H48" s="31"/>
      <c r="I48" s="31"/>
      <c r="J48" s="31"/>
      <c r="K48"/>
      <c r="L48"/>
      <c r="M48"/>
      <c r="N48"/>
      <c r="O48"/>
      <c r="P48"/>
      <c r="Q48"/>
      <c r="R48"/>
      <c r="S48"/>
      <c r="T48"/>
      <c r="U48"/>
    </row>
    <row r="49" spans="2:21" ht="15" customHeight="1" x14ac:dyDescent="0.25">
      <c r="B49" s="31"/>
      <c r="C49" s="31"/>
      <c r="D49" s="31"/>
      <c r="E49" s="31"/>
      <c r="F49" s="31"/>
      <c r="G49" s="31"/>
      <c r="H49" s="31"/>
      <c r="I49" s="31"/>
      <c r="J49" s="31"/>
      <c r="K49"/>
      <c r="L49"/>
      <c r="M49"/>
      <c r="N49"/>
      <c r="O49"/>
      <c r="P49"/>
      <c r="Q49"/>
      <c r="R49"/>
      <c r="S49"/>
      <c r="T49"/>
      <c r="U49"/>
    </row>
    <row r="50" spans="2:21" ht="15" customHeight="1" x14ac:dyDescent="0.25">
      <c r="B50" s="31"/>
      <c r="C50" s="31"/>
      <c r="D50" s="31"/>
      <c r="E50" s="31"/>
      <c r="F50" s="31"/>
      <c r="G50" s="31"/>
      <c r="H50" s="31"/>
      <c r="I50" s="31"/>
      <c r="J50" s="31"/>
      <c r="K50"/>
      <c r="L50"/>
      <c r="M50"/>
      <c r="N50"/>
      <c r="O50"/>
      <c r="P50"/>
      <c r="Q50"/>
      <c r="R50"/>
      <c r="S50"/>
      <c r="T50"/>
      <c r="U50"/>
    </row>
    <row r="51" spans="2:21" ht="15" customHeight="1" x14ac:dyDescent="0.25">
      <c r="B51" s="31"/>
      <c r="C51" s="31"/>
      <c r="D51" s="31"/>
      <c r="E51" s="31"/>
      <c r="F51" s="31"/>
      <c r="G51" s="31"/>
      <c r="H51" s="31"/>
      <c r="I51" s="31"/>
      <c r="J51" s="31"/>
      <c r="K51"/>
      <c r="L51"/>
      <c r="M51"/>
      <c r="N51"/>
      <c r="O51"/>
      <c r="P51"/>
      <c r="Q51"/>
      <c r="R51"/>
      <c r="S51"/>
      <c r="T51"/>
      <c r="U51"/>
    </row>
    <row r="52" spans="2:21" ht="15" customHeight="1" x14ac:dyDescent="0.25">
      <c r="B52" s="31"/>
      <c r="C52" s="31"/>
      <c r="D52" s="31"/>
      <c r="E52" s="31"/>
      <c r="F52" s="31"/>
      <c r="G52" s="31"/>
      <c r="H52" s="31"/>
      <c r="I52" s="31"/>
      <c r="J52" s="31"/>
      <c r="K52"/>
      <c r="L52"/>
      <c r="M52"/>
      <c r="N52"/>
      <c r="O52"/>
      <c r="P52"/>
      <c r="Q52"/>
      <c r="R52"/>
      <c r="S52"/>
      <c r="T52"/>
      <c r="U52"/>
    </row>
    <row r="53" spans="2:21" ht="15" customHeight="1" x14ac:dyDescent="0.25">
      <c r="B53" s="31"/>
      <c r="C53" s="31"/>
      <c r="D53" s="31"/>
      <c r="E53" s="31"/>
      <c r="F53" s="31"/>
      <c r="G53" s="31"/>
      <c r="H53" s="31"/>
      <c r="I53" s="31"/>
      <c r="J53" s="31"/>
      <c r="K53"/>
      <c r="L53"/>
      <c r="M53"/>
      <c r="N53"/>
      <c r="O53"/>
      <c r="P53"/>
      <c r="Q53"/>
      <c r="R53"/>
      <c r="S53"/>
      <c r="T53"/>
      <c r="U53"/>
    </row>
    <row r="54" spans="2:21" ht="15" customHeight="1" x14ac:dyDescent="0.25">
      <c r="B54" s="31"/>
      <c r="C54" s="31"/>
      <c r="D54" s="31"/>
      <c r="E54" s="31"/>
      <c r="F54" s="31"/>
      <c r="G54" s="31"/>
      <c r="H54" s="31"/>
      <c r="I54" s="31"/>
      <c r="J54" s="31"/>
      <c r="K54"/>
      <c r="L54"/>
      <c r="M54"/>
      <c r="N54"/>
      <c r="O54"/>
      <c r="P54"/>
      <c r="Q54"/>
      <c r="R54"/>
      <c r="S54"/>
      <c r="T54"/>
      <c r="U54"/>
    </row>
    <row r="55" spans="2:21" ht="15" customHeight="1" x14ac:dyDescent="0.25">
      <c r="B55" s="31"/>
      <c r="C55" s="31"/>
      <c r="D55" s="31"/>
      <c r="E55" s="31"/>
      <c r="F55" s="31"/>
      <c r="G55" s="31"/>
      <c r="H55" s="31"/>
      <c r="I55" s="31"/>
      <c r="J55" s="31"/>
      <c r="K55"/>
      <c r="L55"/>
      <c r="M55"/>
      <c r="N55"/>
      <c r="O55"/>
      <c r="P55"/>
      <c r="Q55"/>
      <c r="R55"/>
      <c r="S55"/>
      <c r="T55"/>
      <c r="U55"/>
    </row>
    <row r="56" spans="2:21" ht="15" customHeight="1" x14ac:dyDescent="0.25">
      <c r="B56" s="31"/>
      <c r="C56" s="31"/>
      <c r="D56" s="31"/>
      <c r="E56" s="31"/>
      <c r="F56" s="31"/>
      <c r="G56" s="31"/>
      <c r="H56" s="31"/>
      <c r="I56" s="31"/>
      <c r="J56" s="31"/>
      <c r="K56"/>
      <c r="L56"/>
      <c r="M56"/>
      <c r="N56"/>
      <c r="O56"/>
      <c r="P56"/>
      <c r="Q56"/>
      <c r="R56"/>
      <c r="S56"/>
      <c r="T56"/>
      <c r="U56"/>
    </row>
    <row r="57" spans="2:21" ht="15" customHeight="1" x14ac:dyDescent="0.25">
      <c r="B57" s="31"/>
      <c r="C57" s="31"/>
      <c r="D57" s="31"/>
      <c r="E57" s="31"/>
      <c r="F57" s="31"/>
      <c r="G57" s="31"/>
      <c r="H57" s="31"/>
      <c r="I57" s="31"/>
      <c r="J57" s="31"/>
      <c r="K57"/>
      <c r="L57"/>
      <c r="M57"/>
      <c r="N57"/>
      <c r="O57"/>
      <c r="P57"/>
      <c r="Q57"/>
      <c r="R57"/>
      <c r="S57"/>
      <c r="T57"/>
      <c r="U57"/>
    </row>
    <row r="58" spans="2:21" ht="15" customHeight="1" x14ac:dyDescent="0.25">
      <c r="B58" s="31"/>
      <c r="C58" s="31"/>
      <c r="D58" s="31"/>
      <c r="E58" s="31"/>
      <c r="F58" s="31"/>
      <c r="G58" s="31"/>
      <c r="H58" s="31"/>
      <c r="I58" s="31"/>
      <c r="J58" s="31"/>
      <c r="K58"/>
      <c r="L58"/>
      <c r="M58"/>
      <c r="N58"/>
      <c r="O58"/>
      <c r="P58"/>
      <c r="Q58"/>
      <c r="R58"/>
      <c r="S58"/>
      <c r="T58"/>
      <c r="U58"/>
    </row>
    <row r="59" spans="2:21" ht="15" customHeight="1" x14ac:dyDescent="0.25">
      <c r="B59" s="31"/>
      <c r="C59" s="31"/>
      <c r="D59" s="31"/>
      <c r="E59" s="31"/>
      <c r="F59" s="31"/>
      <c r="G59" s="31"/>
      <c r="H59" s="31"/>
      <c r="I59" s="31"/>
      <c r="J59" s="31"/>
      <c r="K59"/>
      <c r="L59"/>
      <c r="M59"/>
      <c r="N59"/>
      <c r="O59"/>
      <c r="P59"/>
      <c r="Q59"/>
      <c r="R59"/>
      <c r="S59"/>
      <c r="T59"/>
      <c r="U59"/>
    </row>
    <row r="60" spans="2:21" ht="15" customHeight="1" x14ac:dyDescent="0.25">
      <c r="B60" s="31"/>
      <c r="C60" s="31"/>
      <c r="D60" s="31"/>
      <c r="E60" s="31"/>
      <c r="F60" s="31"/>
      <c r="G60" s="31"/>
      <c r="H60" s="31"/>
      <c r="I60" s="31"/>
      <c r="J60" s="31"/>
      <c r="K60"/>
      <c r="L60"/>
      <c r="M60"/>
      <c r="N60"/>
      <c r="O60"/>
      <c r="P60"/>
      <c r="Q60"/>
      <c r="R60"/>
      <c r="S60"/>
      <c r="T60"/>
      <c r="U60"/>
    </row>
    <row r="61" spans="2:21" ht="15" customHeight="1" x14ac:dyDescent="0.25">
      <c r="B61" s="31"/>
      <c r="C61" s="31"/>
      <c r="D61" s="31"/>
      <c r="E61" s="31"/>
      <c r="F61" s="31"/>
      <c r="G61" s="31"/>
      <c r="H61" s="31"/>
      <c r="I61" s="31"/>
      <c r="J61" s="31"/>
      <c r="K61"/>
      <c r="L61"/>
      <c r="M61"/>
      <c r="N61"/>
      <c r="O61"/>
      <c r="P61"/>
      <c r="Q61"/>
      <c r="R61"/>
      <c r="S61"/>
      <c r="T61"/>
      <c r="U61"/>
    </row>
    <row r="62" spans="2:21" ht="15" customHeight="1" x14ac:dyDescent="0.25">
      <c r="B62" s="31"/>
      <c r="C62" s="31"/>
      <c r="D62" s="31"/>
      <c r="E62" s="31"/>
      <c r="F62" s="31"/>
      <c r="G62" s="31"/>
      <c r="H62" s="31"/>
      <c r="I62" s="31"/>
      <c r="J62" s="31"/>
      <c r="K62"/>
      <c r="L62"/>
      <c r="M62"/>
      <c r="N62"/>
      <c r="O62"/>
      <c r="P62"/>
      <c r="Q62"/>
      <c r="R62"/>
      <c r="S62"/>
      <c r="T62"/>
      <c r="U62"/>
    </row>
    <row r="63" spans="2:21" ht="15" customHeight="1" x14ac:dyDescent="0.25">
      <c r="B63" s="31"/>
      <c r="C63" s="31"/>
      <c r="D63" s="31"/>
      <c r="E63" s="31"/>
      <c r="F63" s="31"/>
      <c r="G63" s="31"/>
      <c r="H63" s="31"/>
      <c r="I63" s="31"/>
      <c r="J63" s="31"/>
      <c r="K63"/>
      <c r="L63"/>
      <c r="M63"/>
      <c r="N63"/>
      <c r="O63"/>
      <c r="P63"/>
      <c r="Q63"/>
      <c r="R63"/>
      <c r="S63"/>
      <c r="T63"/>
      <c r="U63"/>
    </row>
    <row r="64" spans="2:21" ht="15" customHeight="1" x14ac:dyDescent="0.25">
      <c r="B64" s="31"/>
      <c r="C64" s="31"/>
      <c r="D64" s="31"/>
      <c r="E64" s="31"/>
      <c r="F64" s="31"/>
      <c r="G64" s="31"/>
      <c r="H64" s="31"/>
      <c r="I64" s="31"/>
      <c r="J64" s="31"/>
      <c r="K64"/>
      <c r="L64"/>
      <c r="M64"/>
      <c r="N64"/>
      <c r="O64"/>
      <c r="P64"/>
      <c r="Q64"/>
      <c r="R64"/>
      <c r="S64"/>
      <c r="T64"/>
      <c r="U64"/>
    </row>
    <row r="65" spans="2:21" ht="15" customHeight="1" x14ac:dyDescent="0.25">
      <c r="B65" s="31"/>
      <c r="C65" s="31"/>
      <c r="D65" s="31"/>
      <c r="E65" s="31"/>
      <c r="F65" s="31"/>
      <c r="G65" s="31"/>
      <c r="H65" s="31"/>
      <c r="I65" s="31"/>
      <c r="J65" s="31"/>
      <c r="K65"/>
      <c r="L65"/>
      <c r="M65"/>
      <c r="N65"/>
      <c r="O65"/>
      <c r="P65"/>
      <c r="Q65"/>
      <c r="R65"/>
      <c r="S65"/>
      <c r="T65"/>
      <c r="U65"/>
    </row>
    <row r="66" spans="2:21" ht="15" customHeight="1" x14ac:dyDescent="0.25">
      <c r="B66" s="31"/>
      <c r="C66" s="31"/>
      <c r="D66" s="31"/>
      <c r="E66" s="31"/>
      <c r="F66" s="31"/>
      <c r="G66" s="31"/>
      <c r="H66" s="31"/>
      <c r="I66" s="31"/>
      <c r="J66" s="31"/>
      <c r="K66"/>
      <c r="L66"/>
      <c r="M66"/>
      <c r="N66"/>
      <c r="O66"/>
      <c r="P66"/>
      <c r="Q66"/>
      <c r="R66"/>
      <c r="S66"/>
      <c r="T66"/>
      <c r="U66"/>
    </row>
    <row r="67" spans="2:21" ht="15" customHeight="1" x14ac:dyDescent="0.25">
      <c r="B67" s="31"/>
      <c r="C67" s="31"/>
      <c r="D67" s="31"/>
      <c r="E67" s="31"/>
      <c r="F67" s="31"/>
      <c r="G67" s="31"/>
      <c r="H67" s="31"/>
      <c r="I67" s="31"/>
      <c r="J67" s="31"/>
      <c r="K67"/>
      <c r="L67"/>
      <c r="M67"/>
      <c r="N67"/>
      <c r="O67"/>
      <c r="P67"/>
      <c r="Q67"/>
      <c r="R67"/>
      <c r="S67"/>
      <c r="T67"/>
      <c r="U67"/>
    </row>
    <row r="68" spans="2:21" ht="15" customHeight="1" x14ac:dyDescent="0.25">
      <c r="B68" s="31"/>
      <c r="C68" s="31"/>
      <c r="D68" s="31"/>
      <c r="E68" s="31"/>
      <c r="F68" s="31"/>
      <c r="G68" s="31"/>
      <c r="H68" s="31"/>
      <c r="I68" s="31"/>
      <c r="J68" s="31"/>
      <c r="K68"/>
      <c r="L68"/>
      <c r="M68"/>
      <c r="N68"/>
      <c r="O68"/>
      <c r="P68"/>
      <c r="Q68"/>
      <c r="R68"/>
      <c r="S68"/>
      <c r="T68"/>
      <c r="U68"/>
    </row>
    <row r="69" spans="2:21" ht="15" customHeight="1" x14ac:dyDescent="0.25">
      <c r="B69" s="31"/>
      <c r="C69" s="31"/>
      <c r="D69" s="31"/>
      <c r="E69" s="31"/>
      <c r="F69" s="31"/>
      <c r="G69" s="31"/>
      <c r="H69" s="31"/>
      <c r="I69" s="31"/>
      <c r="J69" s="31"/>
      <c r="K69"/>
      <c r="L69"/>
      <c r="M69"/>
      <c r="N69"/>
      <c r="O69"/>
      <c r="P69"/>
      <c r="Q69"/>
      <c r="R69"/>
      <c r="S69"/>
      <c r="T69"/>
      <c r="U69"/>
    </row>
    <row r="70" spans="2:21" ht="15" customHeight="1" x14ac:dyDescent="0.25">
      <c r="B70" s="31"/>
      <c r="C70" s="31"/>
      <c r="D70" s="31"/>
      <c r="E70" s="31"/>
      <c r="F70" s="31"/>
      <c r="G70" s="31"/>
      <c r="H70" s="31"/>
      <c r="I70" s="31"/>
      <c r="J70" s="31"/>
      <c r="K70"/>
      <c r="L70"/>
      <c r="M70"/>
      <c r="N70"/>
      <c r="O70"/>
      <c r="P70"/>
      <c r="Q70"/>
      <c r="R70"/>
      <c r="S70"/>
      <c r="T70"/>
      <c r="U70"/>
    </row>
    <row r="71" spans="2:21" ht="15" customHeight="1" x14ac:dyDescent="0.25">
      <c r="B71" s="31"/>
      <c r="C71" s="31"/>
      <c r="D71" s="31"/>
      <c r="E71" s="31"/>
      <c r="F71" s="31"/>
      <c r="G71" s="31"/>
      <c r="H71" s="31"/>
      <c r="I71" s="31"/>
      <c r="J71" s="31"/>
      <c r="K71"/>
      <c r="L71"/>
      <c r="M71"/>
      <c r="N71"/>
      <c r="O71"/>
      <c r="P71"/>
      <c r="Q71"/>
      <c r="R71"/>
      <c r="S71"/>
      <c r="T71"/>
      <c r="U71"/>
    </row>
    <row r="72" spans="2:21" ht="15" customHeight="1" x14ac:dyDescent="0.25">
      <c r="B72" s="31"/>
      <c r="C72" s="31"/>
      <c r="D72" s="31"/>
      <c r="E72" s="31"/>
      <c r="F72" s="31"/>
      <c r="G72" s="31"/>
      <c r="H72" s="31"/>
      <c r="I72" s="31"/>
      <c r="J72" s="31"/>
      <c r="K72"/>
      <c r="L72"/>
      <c r="M72"/>
      <c r="N72"/>
      <c r="O72"/>
      <c r="P72"/>
      <c r="Q72"/>
      <c r="R72"/>
      <c r="S72"/>
      <c r="T72"/>
      <c r="U72"/>
    </row>
    <row r="73" spans="2:21" ht="15" customHeight="1" x14ac:dyDescent="0.25">
      <c r="B73" s="31"/>
      <c r="C73" s="31"/>
      <c r="D73" s="31"/>
      <c r="E73" s="31"/>
      <c r="F73" s="31"/>
      <c r="G73" s="31"/>
      <c r="H73" s="31"/>
      <c r="I73" s="31"/>
      <c r="J73" s="31"/>
      <c r="K73"/>
      <c r="L73"/>
      <c r="M73"/>
      <c r="N73"/>
      <c r="O73"/>
      <c r="P73"/>
      <c r="Q73"/>
      <c r="R73"/>
      <c r="S73"/>
      <c r="T73"/>
      <c r="U73"/>
    </row>
    <row r="74" spans="2:21" ht="15" customHeight="1" x14ac:dyDescent="0.25">
      <c r="B74" s="31"/>
      <c r="C74" s="31"/>
      <c r="D74" s="31"/>
      <c r="E74" s="31"/>
      <c r="F74" s="31"/>
      <c r="G74" s="31"/>
      <c r="H74" s="31"/>
      <c r="I74" s="31"/>
      <c r="J74" s="31"/>
      <c r="K74"/>
      <c r="L74"/>
      <c r="M74"/>
      <c r="N74"/>
      <c r="O74"/>
      <c r="P74"/>
      <c r="Q74"/>
      <c r="R74"/>
      <c r="S74"/>
      <c r="T74"/>
      <c r="U74"/>
    </row>
    <row r="75" spans="2:21" ht="15" customHeight="1" x14ac:dyDescent="0.25">
      <c r="B75" s="31"/>
      <c r="C75" s="31"/>
      <c r="D75" s="31"/>
      <c r="E75" s="31"/>
      <c r="F75" s="31"/>
      <c r="G75" s="31"/>
      <c r="H75" s="31"/>
      <c r="I75" s="31"/>
      <c r="J75" s="31"/>
      <c r="K75"/>
      <c r="L75"/>
      <c r="M75"/>
      <c r="N75"/>
      <c r="O75"/>
      <c r="P75"/>
      <c r="Q75"/>
      <c r="R75"/>
      <c r="S75"/>
      <c r="T75"/>
      <c r="U75"/>
    </row>
    <row r="76" spans="2:21" ht="15" customHeight="1" x14ac:dyDescent="0.25">
      <c r="B76" s="31"/>
      <c r="C76" s="31"/>
      <c r="D76" s="31"/>
      <c r="E76" s="31"/>
      <c r="F76" s="31"/>
      <c r="G76" s="31"/>
      <c r="H76" s="31"/>
      <c r="I76" s="31"/>
      <c r="J76" s="31"/>
      <c r="K76"/>
      <c r="L76"/>
      <c r="M76"/>
      <c r="N76"/>
      <c r="O76"/>
      <c r="P76"/>
      <c r="Q76"/>
      <c r="R76"/>
      <c r="S76"/>
      <c r="T76"/>
      <c r="U76"/>
    </row>
    <row r="77" spans="2:21" ht="15" customHeight="1" x14ac:dyDescent="0.25">
      <c r="B77" s="31"/>
      <c r="C77" s="31"/>
      <c r="D77" s="31"/>
      <c r="E77" s="31"/>
      <c r="F77" s="31"/>
      <c r="G77" s="31"/>
      <c r="H77" s="31"/>
      <c r="I77" s="31"/>
      <c r="J77" s="31"/>
      <c r="K77"/>
      <c r="L77"/>
      <c r="M77"/>
      <c r="N77"/>
      <c r="O77"/>
      <c r="P77"/>
      <c r="Q77"/>
      <c r="R77"/>
      <c r="S77"/>
      <c r="T77"/>
      <c r="U77"/>
    </row>
    <row r="78" spans="2:21" ht="15" customHeight="1" x14ac:dyDescent="0.25">
      <c r="B78" s="31"/>
      <c r="C78" s="31"/>
      <c r="D78" s="31"/>
      <c r="E78" s="31"/>
      <c r="F78" s="31"/>
      <c r="G78" s="31"/>
      <c r="H78" s="31"/>
      <c r="I78" s="31"/>
      <c r="J78" s="31"/>
      <c r="K78"/>
      <c r="L78"/>
      <c r="M78"/>
      <c r="N78"/>
      <c r="O78"/>
      <c r="P78"/>
      <c r="Q78"/>
      <c r="R78"/>
      <c r="S78"/>
      <c r="T78"/>
      <c r="U78"/>
    </row>
    <row r="79" spans="2:21" ht="15" customHeight="1" x14ac:dyDescent="0.25">
      <c r="B79" s="31"/>
      <c r="C79" s="31"/>
      <c r="D79" s="31"/>
      <c r="E79" s="31"/>
      <c r="F79" s="31"/>
      <c r="G79" s="31"/>
      <c r="H79" s="31"/>
      <c r="I79" s="31"/>
      <c r="J79" s="31"/>
      <c r="K79"/>
      <c r="L79"/>
      <c r="M79"/>
      <c r="N79"/>
      <c r="O79"/>
      <c r="P79"/>
      <c r="Q79"/>
      <c r="R79"/>
      <c r="S79"/>
      <c r="T79"/>
      <c r="U79"/>
    </row>
    <row r="80" spans="2:21" ht="15" customHeight="1" x14ac:dyDescent="0.25">
      <c r="B80" s="31"/>
      <c r="C80" s="31"/>
      <c r="D80" s="31"/>
      <c r="E80" s="31"/>
      <c r="F80" s="31"/>
      <c r="G80" s="31"/>
      <c r="H80" s="31"/>
      <c r="I80" s="31"/>
      <c r="J80" s="31"/>
      <c r="K80"/>
      <c r="L80"/>
      <c r="M80"/>
      <c r="N80"/>
      <c r="O80"/>
      <c r="P80"/>
      <c r="Q80"/>
      <c r="R80"/>
      <c r="S80"/>
      <c r="T80"/>
      <c r="U80"/>
    </row>
    <row r="81" spans="2:21" ht="15" customHeight="1" x14ac:dyDescent="0.25">
      <c r="B81" s="31"/>
      <c r="C81" s="31"/>
      <c r="D81" s="31"/>
      <c r="E81" s="31"/>
      <c r="F81" s="31"/>
      <c r="G81" s="31"/>
      <c r="H81" s="31"/>
      <c r="I81" s="31"/>
      <c r="J81" s="31"/>
      <c r="K81"/>
      <c r="L81"/>
      <c r="M81"/>
      <c r="N81"/>
      <c r="O81"/>
      <c r="P81"/>
      <c r="Q81"/>
      <c r="R81"/>
      <c r="S81"/>
      <c r="T81"/>
      <c r="U81"/>
    </row>
    <row r="82" spans="2:21" ht="15" customHeight="1" x14ac:dyDescent="0.25">
      <c r="B82" s="31"/>
      <c r="C82" s="31"/>
      <c r="D82" s="31"/>
      <c r="E82" s="31"/>
      <c r="F82" s="31"/>
      <c r="G82" s="31"/>
      <c r="H82" s="31"/>
      <c r="I82" s="31"/>
      <c r="J82" s="31"/>
      <c r="K82"/>
      <c r="L82"/>
      <c r="M82"/>
      <c r="N82"/>
      <c r="O82"/>
      <c r="P82"/>
      <c r="Q82"/>
      <c r="R82"/>
      <c r="S82"/>
      <c r="T82"/>
      <c r="U82"/>
    </row>
    <row r="83" spans="2:21" ht="15" customHeight="1" x14ac:dyDescent="0.25">
      <c r="B83" s="31"/>
      <c r="C83" s="31"/>
      <c r="D83" s="31"/>
      <c r="E83" s="31"/>
      <c r="F83" s="31"/>
      <c r="G83" s="31"/>
      <c r="H83" s="31"/>
      <c r="I83" s="31"/>
      <c r="J83" s="31"/>
      <c r="K83"/>
      <c r="L83"/>
      <c r="M83"/>
      <c r="N83"/>
      <c r="O83"/>
      <c r="P83"/>
      <c r="Q83"/>
      <c r="R83"/>
      <c r="S83"/>
      <c r="T83"/>
      <c r="U83"/>
    </row>
    <row r="84" spans="2:21" ht="15" customHeight="1" x14ac:dyDescent="0.25">
      <c r="B84" s="31"/>
      <c r="C84" s="31"/>
      <c r="D84" s="31"/>
      <c r="E84" s="31"/>
      <c r="F84" s="31"/>
      <c r="G84" s="31"/>
      <c r="H84" s="31"/>
      <c r="I84" s="31"/>
      <c r="J84" s="31"/>
      <c r="K84"/>
      <c r="L84"/>
      <c r="M84"/>
      <c r="N84"/>
      <c r="O84"/>
      <c r="P84"/>
      <c r="Q84"/>
      <c r="R84"/>
      <c r="S84"/>
      <c r="T84"/>
      <c r="U84"/>
    </row>
    <row r="85" spans="2:21" ht="15" customHeight="1" x14ac:dyDescent="0.25">
      <c r="B85" s="31"/>
      <c r="C85" s="31"/>
      <c r="D85" s="31"/>
      <c r="E85" s="31"/>
      <c r="F85" s="31"/>
      <c r="G85" s="31"/>
      <c r="H85" s="31"/>
      <c r="I85" s="31"/>
      <c r="J85" s="31"/>
      <c r="K85"/>
      <c r="L85"/>
      <c r="M85"/>
      <c r="N85"/>
      <c r="O85"/>
      <c r="P85"/>
      <c r="Q85"/>
      <c r="R85"/>
      <c r="S85"/>
      <c r="T85"/>
      <c r="U85"/>
    </row>
    <row r="86" spans="2:21" ht="15" customHeight="1" x14ac:dyDescent="0.25">
      <c r="B86" s="31"/>
      <c r="C86" s="31"/>
      <c r="D86" s="31"/>
      <c r="E86" s="31"/>
      <c r="F86" s="31"/>
      <c r="G86" s="31"/>
      <c r="H86" s="31"/>
      <c r="I86" s="31"/>
      <c r="J86" s="31"/>
      <c r="K86"/>
      <c r="L86"/>
      <c r="M86"/>
      <c r="N86"/>
      <c r="O86"/>
      <c r="P86"/>
      <c r="Q86"/>
      <c r="R86"/>
      <c r="S86"/>
      <c r="T86"/>
      <c r="U86"/>
    </row>
    <row r="87" spans="2:21" ht="15" customHeight="1" x14ac:dyDescent="0.25">
      <c r="B87" s="31"/>
      <c r="C87" s="31"/>
      <c r="D87" s="31"/>
      <c r="E87" s="31"/>
      <c r="F87" s="31"/>
      <c r="G87" s="31"/>
      <c r="H87" s="31"/>
      <c r="I87" s="31"/>
      <c r="J87" s="31"/>
      <c r="K87"/>
      <c r="L87"/>
      <c r="M87"/>
      <c r="N87"/>
      <c r="O87"/>
      <c r="P87"/>
      <c r="Q87"/>
      <c r="R87"/>
      <c r="S87"/>
      <c r="T87"/>
      <c r="U87"/>
    </row>
    <row r="88" spans="2:21" ht="15" customHeight="1" x14ac:dyDescent="0.25">
      <c r="B88" s="31"/>
      <c r="C88" s="31"/>
      <c r="D88" s="31"/>
      <c r="E88" s="31"/>
      <c r="F88" s="31"/>
      <c r="G88" s="31"/>
      <c r="H88" s="31"/>
      <c r="I88" s="31"/>
      <c r="J88" s="31"/>
      <c r="K88"/>
      <c r="L88"/>
      <c r="M88"/>
      <c r="N88"/>
      <c r="O88"/>
      <c r="P88"/>
      <c r="Q88"/>
      <c r="R88"/>
      <c r="S88"/>
      <c r="T88"/>
      <c r="U88"/>
    </row>
    <row r="89" spans="2:21" ht="15" customHeight="1" x14ac:dyDescent="0.25">
      <c r="B89" s="31"/>
      <c r="C89" s="31"/>
      <c r="D89" s="31"/>
      <c r="E89" s="31"/>
      <c r="F89" s="31"/>
      <c r="G89" s="31"/>
      <c r="H89" s="31"/>
      <c r="I89" s="31"/>
      <c r="J89" s="31"/>
      <c r="K89"/>
      <c r="L89"/>
      <c r="M89"/>
      <c r="N89"/>
      <c r="O89"/>
      <c r="P89"/>
      <c r="Q89"/>
      <c r="R89"/>
      <c r="S89"/>
      <c r="T89"/>
      <c r="U89"/>
    </row>
    <row r="90" spans="2:21" ht="15" customHeight="1" x14ac:dyDescent="0.25">
      <c r="B90" s="31"/>
      <c r="C90" s="31"/>
      <c r="D90" s="31"/>
      <c r="E90" s="31"/>
      <c r="F90" s="31"/>
      <c r="G90" s="31"/>
      <c r="H90" s="31"/>
      <c r="I90" s="31"/>
      <c r="J90" s="31"/>
      <c r="K90"/>
      <c r="L90"/>
      <c r="M90"/>
      <c r="N90"/>
      <c r="O90"/>
      <c r="P90"/>
      <c r="Q90"/>
      <c r="R90"/>
      <c r="S90"/>
      <c r="T90"/>
      <c r="U90"/>
    </row>
    <row r="91" spans="2:21" ht="15" customHeight="1" x14ac:dyDescent="0.25">
      <c r="B91" s="31"/>
      <c r="C91" s="31"/>
      <c r="D91" s="31"/>
      <c r="E91" s="31"/>
      <c r="F91" s="31"/>
      <c r="G91" s="31"/>
      <c r="H91" s="31"/>
      <c r="I91" s="31"/>
      <c r="J91" s="31"/>
      <c r="K91"/>
      <c r="L91"/>
      <c r="M91"/>
      <c r="N91"/>
      <c r="O91"/>
      <c r="P91"/>
      <c r="Q91"/>
      <c r="R91"/>
      <c r="S91"/>
      <c r="T91"/>
      <c r="U91"/>
    </row>
    <row r="92" spans="2:21" ht="15" customHeight="1" x14ac:dyDescent="0.25">
      <c r="B92" s="31"/>
      <c r="C92" s="31"/>
      <c r="D92" s="31"/>
      <c r="E92" s="31"/>
      <c r="F92" s="31"/>
      <c r="G92" s="31"/>
      <c r="H92" s="31"/>
      <c r="I92" s="31"/>
      <c r="J92" s="31"/>
      <c r="K92"/>
      <c r="L92"/>
      <c r="M92"/>
      <c r="N92"/>
      <c r="O92"/>
      <c r="P92"/>
      <c r="Q92"/>
      <c r="R92"/>
      <c r="S92"/>
      <c r="T92"/>
      <c r="U92"/>
    </row>
    <row r="93" spans="2:21" ht="15" customHeight="1" x14ac:dyDescent="0.25">
      <c r="B93" s="31"/>
      <c r="C93" s="31"/>
      <c r="D93" s="31"/>
      <c r="E93" s="31"/>
      <c r="F93" s="31"/>
      <c r="G93" s="31"/>
      <c r="H93" s="31"/>
      <c r="I93" s="31"/>
      <c r="J93" s="31"/>
      <c r="K93"/>
      <c r="L93"/>
      <c r="M93"/>
      <c r="N93"/>
      <c r="O93"/>
      <c r="P93"/>
      <c r="Q93"/>
      <c r="R93"/>
      <c r="S93"/>
      <c r="T93"/>
      <c r="U93"/>
    </row>
    <row r="94" spans="2:21" ht="15" customHeight="1" x14ac:dyDescent="0.25">
      <c r="B94" s="31"/>
      <c r="C94" s="31"/>
      <c r="D94" s="31"/>
      <c r="E94" s="31"/>
      <c r="F94" s="31"/>
      <c r="G94" s="31"/>
      <c r="H94" s="31"/>
      <c r="I94" s="31"/>
      <c r="J94" s="31"/>
      <c r="K94"/>
      <c r="L94"/>
      <c r="M94"/>
      <c r="N94"/>
      <c r="O94"/>
      <c r="P94"/>
      <c r="Q94"/>
      <c r="R94"/>
      <c r="S94"/>
      <c r="T94"/>
      <c r="U94"/>
    </row>
    <row r="95" spans="2:21" ht="15" customHeight="1" x14ac:dyDescent="0.25">
      <c r="B95" s="31"/>
      <c r="C95" s="31"/>
      <c r="D95" s="31"/>
      <c r="E95" s="31"/>
      <c r="F95" s="31"/>
      <c r="G95" s="31"/>
      <c r="H95" s="31"/>
      <c r="I95" s="31"/>
      <c r="J95" s="31"/>
      <c r="K95"/>
      <c r="L95"/>
      <c r="M95"/>
      <c r="N95"/>
      <c r="O95"/>
      <c r="P95"/>
      <c r="Q95"/>
      <c r="R95"/>
      <c r="S95"/>
      <c r="T95"/>
      <c r="U95"/>
    </row>
    <row r="96" spans="2:21" ht="15" customHeight="1" x14ac:dyDescent="0.25">
      <c r="B96" s="31"/>
      <c r="C96" s="31"/>
      <c r="D96" s="31"/>
      <c r="E96" s="31"/>
      <c r="F96" s="31"/>
      <c r="G96" s="31"/>
      <c r="H96" s="31"/>
      <c r="I96" s="31"/>
      <c r="J96" s="31"/>
      <c r="K96"/>
      <c r="L96"/>
      <c r="M96"/>
      <c r="N96"/>
      <c r="O96"/>
      <c r="P96"/>
      <c r="Q96"/>
      <c r="R96"/>
      <c r="S96"/>
      <c r="T96"/>
      <c r="U96"/>
    </row>
    <row r="97" spans="2:21" ht="15" customHeight="1" x14ac:dyDescent="0.25">
      <c r="B97" s="31"/>
      <c r="C97" s="31"/>
      <c r="D97" s="31"/>
      <c r="E97" s="31"/>
      <c r="F97" s="31"/>
      <c r="G97" s="31"/>
      <c r="H97" s="31"/>
      <c r="I97" s="31"/>
      <c r="J97" s="31"/>
      <c r="K97"/>
      <c r="L97"/>
      <c r="M97"/>
      <c r="N97"/>
      <c r="O97"/>
      <c r="P97"/>
      <c r="Q97"/>
      <c r="R97"/>
      <c r="S97"/>
      <c r="T97"/>
      <c r="U97"/>
    </row>
    <row r="98" spans="2:21" ht="15" customHeight="1" x14ac:dyDescent="0.25">
      <c r="B98" s="31"/>
      <c r="C98" s="31"/>
      <c r="D98" s="31"/>
      <c r="E98" s="31"/>
      <c r="F98" s="31"/>
      <c r="G98" s="31"/>
      <c r="H98" s="31"/>
      <c r="I98" s="31"/>
      <c r="J98" s="31"/>
      <c r="K98"/>
      <c r="L98"/>
      <c r="M98"/>
      <c r="N98"/>
      <c r="O98"/>
      <c r="P98"/>
      <c r="Q98"/>
      <c r="R98"/>
      <c r="S98"/>
      <c r="T98"/>
      <c r="U98"/>
    </row>
    <row r="99" spans="2:21" ht="15" customHeight="1" x14ac:dyDescent="0.25">
      <c r="B99" s="31"/>
      <c r="C99" s="31"/>
      <c r="D99" s="31"/>
      <c r="E99" s="31"/>
      <c r="F99" s="31"/>
      <c r="G99" s="31"/>
      <c r="H99" s="31"/>
      <c r="I99" s="31"/>
      <c r="J99" s="31"/>
      <c r="K99"/>
      <c r="L99"/>
      <c r="M99"/>
      <c r="N99"/>
      <c r="O99"/>
      <c r="P99"/>
      <c r="Q99"/>
      <c r="R99"/>
      <c r="S99"/>
      <c r="T99"/>
      <c r="U99"/>
    </row>
    <row r="100" spans="2:21" ht="15" customHeight="1" x14ac:dyDescent="0.25">
      <c r="B100" s="31"/>
      <c r="C100" s="31"/>
      <c r="D100" s="31"/>
      <c r="E100" s="31"/>
      <c r="F100" s="31"/>
      <c r="G100" s="31"/>
      <c r="H100" s="31"/>
      <c r="I100" s="31"/>
      <c r="J100" s="31"/>
      <c r="K100"/>
      <c r="L100"/>
      <c r="M100"/>
      <c r="N100"/>
      <c r="O100"/>
      <c r="P100"/>
      <c r="Q100"/>
      <c r="R100"/>
      <c r="S100"/>
      <c r="T100"/>
      <c r="U100"/>
    </row>
    <row r="101" spans="2:21" ht="15" customHeight="1" x14ac:dyDescent="0.25">
      <c r="B101" s="31"/>
      <c r="C101" s="31"/>
      <c r="D101" s="31"/>
      <c r="E101" s="31"/>
      <c r="F101" s="31"/>
      <c r="G101" s="31"/>
      <c r="H101" s="31"/>
      <c r="I101" s="31"/>
      <c r="J101" s="31"/>
      <c r="K101"/>
      <c r="L101"/>
      <c r="M101"/>
      <c r="N101"/>
      <c r="O101"/>
      <c r="P101"/>
      <c r="Q101"/>
      <c r="R101"/>
      <c r="S101"/>
      <c r="T101"/>
      <c r="U101"/>
    </row>
  </sheetData>
  <mergeCells count="1">
    <mergeCell ref="H1:I1"/>
  </mergeCells>
  <conditionalFormatting sqref="B1">
    <cfRule type="cellIs" dxfId="71" priority="1" operator="equal">
      <formula>"Incomplete"</formula>
    </cfRule>
    <cfRule type="cellIs" dxfId="70" priority="2" operator="equal">
      <formula>"Flag for Review"</formula>
    </cfRule>
    <cfRule type="cellIs" dxfId="69" priority="3" operator="equal">
      <formula>"Finished"</formula>
    </cfRule>
  </conditionalFormatting>
  <dataValidations count="1">
    <dataValidation type="list" allowBlank="1" showInputMessage="1" showErrorMessage="1" sqref="B1">
      <formula1>"Finished, Flag for Review, Incomplete"</formula1>
    </dataValidation>
  </dataValidations>
  <hyperlinks>
    <hyperlink ref="H1" location="'Point Grid'!A8" display="Return to Point Grid"/>
    <hyperlink ref="H1:I1" location="'Point Grid'!A1" display="Return to Point Grid"/>
  </hyperlink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/>
  <dimension ref="A1:U109"/>
  <sheetViews>
    <sheetView zoomScaleNormal="100" workbookViewId="0"/>
  </sheetViews>
  <sheetFormatPr defaultColWidth="9.140625" defaultRowHeight="15" x14ac:dyDescent="0.25"/>
  <cols>
    <col min="1" max="1" width="9.140625" style="21"/>
    <col min="2" max="2" width="16" style="21" bestFit="1" customWidth="1"/>
    <col min="3" max="9" width="11.140625" style="21" customWidth="1"/>
    <col min="10" max="16384" width="9.140625" style="21"/>
  </cols>
  <sheetData>
    <row r="1" spans="1:21" x14ac:dyDescent="0.25">
      <c r="A1" s="7">
        <v>8</v>
      </c>
      <c r="B1" s="27" t="s">
        <v>12</v>
      </c>
      <c r="C1" s="20"/>
      <c r="D1" s="20"/>
      <c r="E1" s="20"/>
      <c r="F1" s="20"/>
      <c r="G1" s="20"/>
      <c r="H1" s="384" t="s">
        <v>24</v>
      </c>
      <c r="I1" s="385"/>
      <c r="K1"/>
      <c r="L1"/>
      <c r="M1"/>
      <c r="N1"/>
      <c r="O1"/>
      <c r="P1"/>
      <c r="Q1"/>
      <c r="R1"/>
      <c r="S1"/>
      <c r="T1"/>
      <c r="U1"/>
    </row>
    <row r="2" spans="1:21" x14ac:dyDescent="0.25">
      <c r="A2" s="22"/>
      <c r="B2" s="19"/>
      <c r="C2" s="19"/>
      <c r="D2" s="19"/>
      <c r="E2" s="19"/>
      <c r="F2" s="19"/>
      <c r="G2" s="19"/>
      <c r="H2" s="19"/>
      <c r="I2" s="23"/>
      <c r="K2"/>
      <c r="L2"/>
      <c r="M2"/>
      <c r="N2"/>
      <c r="O2"/>
      <c r="P2"/>
      <c r="Q2"/>
      <c r="R2"/>
      <c r="S2"/>
      <c r="T2"/>
      <c r="U2"/>
    </row>
    <row r="3" spans="1:21" x14ac:dyDescent="0.25">
      <c r="A3" s="8" t="s">
        <v>13</v>
      </c>
      <c r="B3" s="17"/>
      <c r="C3" s="17"/>
      <c r="D3" s="17"/>
      <c r="E3" s="17"/>
      <c r="F3" s="17"/>
      <c r="G3" s="17"/>
      <c r="H3" s="17"/>
      <c r="I3" s="18"/>
      <c r="J3" s="31"/>
      <c r="K3"/>
      <c r="L3"/>
      <c r="M3"/>
      <c r="N3"/>
      <c r="O3"/>
      <c r="P3"/>
      <c r="Q3"/>
      <c r="R3"/>
      <c r="S3"/>
      <c r="T3"/>
      <c r="U3"/>
    </row>
    <row r="4" spans="1:21" x14ac:dyDescent="0.25">
      <c r="A4" s="9">
        <f>INDEX('Point Grid'!B:B,MATCH(A1,'Point Grid'!A:A,0))</f>
        <v>2.5</v>
      </c>
      <c r="B4" s="17"/>
      <c r="C4" s="17"/>
      <c r="D4" s="17"/>
      <c r="E4" s="17"/>
      <c r="F4" s="17"/>
      <c r="G4" s="17"/>
      <c r="H4" s="17"/>
      <c r="I4" s="18"/>
      <c r="J4" s="31"/>
      <c r="K4"/>
      <c r="L4"/>
      <c r="M4"/>
      <c r="N4"/>
      <c r="O4"/>
      <c r="P4"/>
      <c r="Q4"/>
      <c r="R4"/>
      <c r="S4"/>
      <c r="T4"/>
      <c r="U4"/>
    </row>
    <row r="5" spans="1:21" x14ac:dyDescent="0.25">
      <c r="A5" s="16"/>
      <c r="B5" s="17"/>
      <c r="C5" s="17"/>
      <c r="D5" s="17"/>
      <c r="E5" s="17"/>
      <c r="F5" s="17"/>
      <c r="G5" s="17"/>
      <c r="H5" s="17"/>
      <c r="I5" s="18"/>
      <c r="J5" s="31"/>
      <c r="K5"/>
      <c r="L5"/>
      <c r="M5"/>
      <c r="N5"/>
      <c r="O5"/>
      <c r="P5"/>
      <c r="Q5"/>
      <c r="R5"/>
      <c r="S5"/>
      <c r="T5"/>
      <c r="U5"/>
    </row>
    <row r="6" spans="1:21" x14ac:dyDescent="0.25">
      <c r="A6" s="25" t="s">
        <v>2</v>
      </c>
      <c r="B6" s="17" t="s">
        <v>419</v>
      </c>
      <c r="C6" s="17"/>
      <c r="D6" s="17"/>
      <c r="E6" s="17"/>
      <c r="F6" s="17"/>
      <c r="G6" s="17"/>
      <c r="H6" s="17"/>
      <c r="I6" s="18"/>
      <c r="J6" s="31"/>
      <c r="K6"/>
      <c r="L6"/>
      <c r="M6"/>
      <c r="N6"/>
      <c r="O6"/>
      <c r="P6"/>
      <c r="Q6"/>
      <c r="R6"/>
      <c r="S6"/>
      <c r="T6"/>
      <c r="U6"/>
    </row>
    <row r="7" spans="1:21" ht="15.75" thickBot="1" x14ac:dyDescent="0.3">
      <c r="A7" s="9">
        <f>INDEX('Point Grid'!$C$8:$I$54,MATCH($A$1,'Point Grid'!$A$8:$A$54,0),MATCH(A6,'Point Grid'!$C$7:$I$7,0))</f>
        <v>2</v>
      </c>
      <c r="B7" s="17"/>
      <c r="C7" s="17"/>
      <c r="D7" s="17"/>
      <c r="E7" s="17"/>
      <c r="F7" s="17"/>
      <c r="G7" s="17"/>
      <c r="H7" s="17"/>
      <c r="I7" s="18"/>
      <c r="J7" s="31"/>
      <c r="K7"/>
      <c r="L7"/>
      <c r="M7"/>
      <c r="N7"/>
      <c r="O7"/>
      <c r="P7"/>
      <c r="Q7"/>
      <c r="R7"/>
      <c r="S7"/>
      <c r="T7"/>
      <c r="U7"/>
    </row>
    <row r="8" spans="1:21" ht="15.75" thickBot="1" x14ac:dyDescent="0.3">
      <c r="A8" s="5"/>
      <c r="B8" s="17"/>
      <c r="C8" s="66" t="s">
        <v>65</v>
      </c>
      <c r="D8" s="74"/>
      <c r="E8" s="67">
        <v>120</v>
      </c>
      <c r="F8" s="28"/>
      <c r="G8" s="28"/>
      <c r="H8" s="28"/>
      <c r="I8" s="18"/>
      <c r="J8" s="31"/>
      <c r="K8"/>
      <c r="L8"/>
      <c r="M8"/>
      <c r="N8"/>
      <c r="O8"/>
      <c r="P8"/>
      <c r="Q8"/>
      <c r="R8"/>
      <c r="S8"/>
      <c r="T8"/>
      <c r="U8"/>
    </row>
    <row r="9" spans="1:21" x14ac:dyDescent="0.25">
      <c r="A9" s="25"/>
      <c r="B9" s="17"/>
      <c r="C9" s="70" t="s">
        <v>66</v>
      </c>
      <c r="D9" s="75"/>
      <c r="E9" s="73">
        <v>210</v>
      </c>
      <c r="F9" s="17"/>
      <c r="G9" s="17"/>
      <c r="H9" s="17"/>
      <c r="I9" s="18"/>
      <c r="J9" s="31"/>
      <c r="K9"/>
      <c r="L9"/>
      <c r="M9"/>
      <c r="N9"/>
      <c r="O9"/>
      <c r="P9"/>
      <c r="Q9"/>
      <c r="R9"/>
      <c r="S9"/>
      <c r="T9"/>
      <c r="U9"/>
    </row>
    <row r="10" spans="1:21" x14ac:dyDescent="0.25">
      <c r="A10" s="25"/>
      <c r="B10" s="17"/>
      <c r="C10" s="68" t="s">
        <v>67</v>
      </c>
      <c r="D10" s="76"/>
      <c r="E10" s="69">
        <v>-0.09</v>
      </c>
      <c r="F10" s="17"/>
      <c r="G10" s="17"/>
      <c r="H10" s="17"/>
      <c r="I10" s="18"/>
      <c r="J10" s="31"/>
      <c r="K10"/>
      <c r="L10"/>
      <c r="M10"/>
      <c r="N10"/>
      <c r="O10"/>
      <c r="P10"/>
      <c r="Q10"/>
      <c r="R10"/>
      <c r="S10"/>
      <c r="T10"/>
      <c r="U10"/>
    </row>
    <row r="11" spans="1:21" x14ac:dyDescent="0.25">
      <c r="A11" s="25"/>
      <c r="B11" s="17"/>
      <c r="C11" s="70" t="s">
        <v>68</v>
      </c>
      <c r="D11" s="75"/>
      <c r="E11" s="72">
        <v>44378</v>
      </c>
      <c r="F11" s="17"/>
      <c r="G11" s="17"/>
      <c r="H11" s="17"/>
      <c r="I11" s="18"/>
      <c r="J11" s="31"/>
      <c r="K11"/>
      <c r="L11"/>
      <c r="M11"/>
      <c r="N11"/>
      <c r="O11"/>
      <c r="P11"/>
      <c r="Q11"/>
      <c r="R11"/>
      <c r="S11"/>
      <c r="T11"/>
      <c r="U11"/>
    </row>
    <row r="12" spans="1:21" x14ac:dyDescent="0.25">
      <c r="A12" s="25"/>
      <c r="B12" s="17"/>
      <c r="C12" s="17"/>
      <c r="D12" s="17"/>
      <c r="E12" s="17"/>
      <c r="F12" s="17"/>
      <c r="G12" s="17"/>
      <c r="H12" s="17"/>
      <c r="I12" s="18"/>
      <c r="J12" s="31"/>
      <c r="K12"/>
      <c r="L12"/>
      <c r="M12"/>
      <c r="N12"/>
      <c r="O12"/>
      <c r="P12"/>
      <c r="Q12"/>
      <c r="R12"/>
      <c r="S12"/>
      <c r="T12"/>
      <c r="U12"/>
    </row>
    <row r="13" spans="1:21" x14ac:dyDescent="0.25">
      <c r="A13" s="25" t="s">
        <v>3</v>
      </c>
      <c r="B13" s="17" t="s">
        <v>69</v>
      </c>
      <c r="C13" s="17"/>
      <c r="D13" s="17"/>
      <c r="E13" s="17"/>
      <c r="F13" s="17"/>
      <c r="G13" s="17"/>
      <c r="H13" s="17"/>
      <c r="I13" s="18"/>
      <c r="J13" s="31"/>
      <c r="K13"/>
      <c r="L13"/>
      <c r="M13"/>
      <c r="N13"/>
      <c r="O13"/>
      <c r="P13"/>
      <c r="Q13"/>
      <c r="R13"/>
      <c r="S13"/>
      <c r="T13"/>
      <c r="U13"/>
    </row>
    <row r="14" spans="1:21" ht="15.75" thickBot="1" x14ac:dyDescent="0.3">
      <c r="A14" s="9">
        <f>INDEX('Point Grid'!$C$8:$I$54,MATCH($A$1,'Point Grid'!$A$8:$A$54,0),MATCH(A13,'Point Grid'!$C$7:$I$7,0))</f>
        <v>0.5</v>
      </c>
      <c r="B14" s="17" t="s">
        <v>70</v>
      </c>
      <c r="C14" s="17"/>
      <c r="D14" s="17"/>
      <c r="E14" s="17"/>
      <c r="F14" s="17"/>
      <c r="G14" s="17"/>
      <c r="H14" s="17"/>
      <c r="I14" s="18"/>
      <c r="J14" s="31"/>
      <c r="K14"/>
      <c r="L14"/>
      <c r="M14"/>
      <c r="N14"/>
      <c r="O14"/>
      <c r="P14"/>
      <c r="Q14"/>
      <c r="R14"/>
      <c r="S14"/>
      <c r="T14"/>
      <c r="U14"/>
    </row>
    <row r="15" spans="1:21" ht="15.75" thickBot="1" x14ac:dyDescent="0.3">
      <c r="A15" s="5"/>
      <c r="B15" s="17"/>
      <c r="C15" s="28"/>
      <c r="D15" s="28"/>
      <c r="E15" s="28"/>
      <c r="F15" s="28"/>
      <c r="G15" s="28"/>
      <c r="H15" s="28"/>
      <c r="I15" s="18"/>
      <c r="J15" s="31"/>
      <c r="K15"/>
      <c r="L15"/>
      <c r="M15"/>
      <c r="N15"/>
      <c r="O15"/>
      <c r="P15"/>
      <c r="Q15"/>
      <c r="R15"/>
      <c r="S15"/>
      <c r="T15"/>
      <c r="U15"/>
    </row>
    <row r="16" spans="1:21" ht="15" customHeight="1" x14ac:dyDescent="0.25">
      <c r="A16" s="25"/>
      <c r="B16" s="17"/>
      <c r="C16" s="17"/>
      <c r="D16" s="17"/>
      <c r="E16" s="17"/>
      <c r="F16" s="17"/>
      <c r="G16" s="17"/>
      <c r="H16" s="17"/>
      <c r="I16" s="18"/>
      <c r="J16" s="31"/>
      <c r="K16"/>
      <c r="L16"/>
      <c r="M16"/>
      <c r="N16"/>
      <c r="O16"/>
      <c r="P16"/>
      <c r="Q16"/>
      <c r="R16"/>
      <c r="S16"/>
      <c r="T16"/>
      <c r="U16"/>
    </row>
    <row r="17" spans="1:21" x14ac:dyDescent="0.25">
      <c r="A17" s="25"/>
      <c r="B17" s="17"/>
      <c r="C17" s="17"/>
      <c r="D17" s="17"/>
      <c r="E17" s="17"/>
      <c r="F17" s="17"/>
      <c r="G17" s="17"/>
      <c r="H17" s="17"/>
      <c r="I17" s="18"/>
      <c r="J17" s="31"/>
      <c r="K17"/>
      <c r="L17"/>
      <c r="M17"/>
      <c r="N17"/>
      <c r="O17"/>
      <c r="P17"/>
      <c r="Q17"/>
      <c r="R17"/>
      <c r="S17"/>
      <c r="T17"/>
      <c r="U17"/>
    </row>
    <row r="18" spans="1:21" x14ac:dyDescent="0.25">
      <c r="A18" s="25"/>
      <c r="B18" s="17"/>
      <c r="C18" s="28"/>
      <c r="D18" s="28"/>
      <c r="E18" s="28"/>
      <c r="F18" s="28"/>
      <c r="G18" s="28"/>
      <c r="H18" s="28"/>
      <c r="I18" s="18"/>
      <c r="J18" s="31"/>
      <c r="K18"/>
      <c r="L18"/>
      <c r="M18"/>
      <c r="N18"/>
      <c r="O18"/>
      <c r="P18"/>
      <c r="Q18"/>
      <c r="R18"/>
      <c r="S18"/>
      <c r="T18"/>
      <c r="U18"/>
    </row>
    <row r="19" spans="1:21" ht="15" customHeight="1" x14ac:dyDescent="0.25">
      <c r="A19" s="25"/>
      <c r="B19" s="17"/>
      <c r="C19" s="28"/>
      <c r="D19" s="28"/>
      <c r="E19" s="28"/>
      <c r="F19" s="28"/>
      <c r="G19" s="28"/>
      <c r="H19" s="28"/>
      <c r="I19" s="18"/>
      <c r="J19" s="31"/>
      <c r="K19"/>
      <c r="L19"/>
      <c r="M19"/>
      <c r="N19"/>
      <c r="O19"/>
      <c r="P19"/>
      <c r="Q19"/>
      <c r="R19"/>
      <c r="S19"/>
      <c r="T19"/>
      <c r="U19"/>
    </row>
    <row r="20" spans="1:21" ht="15" customHeight="1" x14ac:dyDescent="0.25">
      <c r="A20" s="25"/>
      <c r="B20" s="17"/>
      <c r="C20" s="28"/>
      <c r="D20" s="28"/>
      <c r="E20" s="28"/>
      <c r="F20" s="28"/>
      <c r="G20" s="28"/>
      <c r="H20" s="28"/>
      <c r="I20" s="18"/>
      <c r="J20" s="31"/>
      <c r="K20"/>
      <c r="L20"/>
      <c r="M20"/>
      <c r="N20"/>
      <c r="O20"/>
      <c r="P20"/>
      <c r="Q20"/>
      <c r="R20"/>
      <c r="S20"/>
      <c r="T20"/>
      <c r="U20"/>
    </row>
    <row r="21" spans="1:21" x14ac:dyDescent="0.25">
      <c r="A21" s="25"/>
      <c r="B21" s="17"/>
      <c r="C21" s="28"/>
      <c r="D21" s="28"/>
      <c r="E21" s="28"/>
      <c r="F21" s="28"/>
      <c r="G21" s="28"/>
      <c r="H21" s="28"/>
      <c r="I21" s="18"/>
      <c r="J21" s="31"/>
      <c r="K21"/>
      <c r="L21"/>
      <c r="M21"/>
      <c r="N21"/>
      <c r="O21"/>
      <c r="P21"/>
      <c r="Q21"/>
      <c r="R21"/>
      <c r="S21"/>
      <c r="T21"/>
      <c r="U21"/>
    </row>
    <row r="22" spans="1:21" x14ac:dyDescent="0.25">
      <c r="A22" s="25"/>
      <c r="B22" s="17"/>
      <c r="C22" s="28"/>
      <c r="D22" s="28"/>
      <c r="E22" s="28"/>
      <c r="F22" s="28"/>
      <c r="G22" s="28"/>
      <c r="H22" s="28"/>
      <c r="I22" s="18"/>
      <c r="J22" s="31"/>
      <c r="K22"/>
      <c r="L22"/>
      <c r="M22"/>
      <c r="N22"/>
      <c r="O22"/>
      <c r="P22"/>
      <c r="Q22"/>
      <c r="R22"/>
      <c r="S22"/>
      <c r="T22"/>
      <c r="U22"/>
    </row>
    <row r="23" spans="1:21" x14ac:dyDescent="0.25">
      <c r="A23" s="25"/>
      <c r="B23" s="17"/>
      <c r="C23" s="28"/>
      <c r="D23" s="28"/>
      <c r="E23" s="28"/>
      <c r="F23" s="28"/>
      <c r="G23" s="28"/>
      <c r="H23" s="28"/>
      <c r="I23" s="18"/>
      <c r="J23" s="31"/>
      <c r="K23"/>
      <c r="L23"/>
      <c r="M23"/>
      <c r="N23"/>
      <c r="O23"/>
      <c r="P23"/>
      <c r="Q23"/>
      <c r="R23"/>
      <c r="S23"/>
      <c r="T23"/>
      <c r="U23"/>
    </row>
    <row r="24" spans="1:21" x14ac:dyDescent="0.25">
      <c r="A24" s="25"/>
      <c r="B24" s="17"/>
      <c r="C24" s="28"/>
      <c r="D24" s="28"/>
      <c r="E24" s="28"/>
      <c r="F24" s="28"/>
      <c r="G24" s="28"/>
      <c r="H24" s="28"/>
      <c r="I24" s="18"/>
      <c r="J24" s="31"/>
      <c r="K24"/>
      <c r="L24"/>
      <c r="M24"/>
      <c r="N24"/>
      <c r="O24"/>
      <c r="P24"/>
      <c r="Q24"/>
      <c r="R24"/>
      <c r="S24"/>
      <c r="T24"/>
      <c r="U24"/>
    </row>
    <row r="25" spans="1:21" x14ac:dyDescent="0.25">
      <c r="A25" s="25"/>
      <c r="B25" s="17"/>
      <c r="C25" s="28"/>
      <c r="D25" s="28"/>
      <c r="E25" s="28"/>
      <c r="F25" s="28"/>
      <c r="G25" s="28"/>
      <c r="H25" s="28"/>
      <c r="I25" s="18"/>
      <c r="J25" s="31"/>
      <c r="K25"/>
      <c r="L25"/>
      <c r="M25"/>
      <c r="N25"/>
      <c r="O25"/>
      <c r="P25"/>
      <c r="Q25"/>
      <c r="R25"/>
      <c r="S25"/>
      <c r="T25"/>
      <c r="U25"/>
    </row>
    <row r="26" spans="1:21" ht="15" customHeight="1" x14ac:dyDescent="0.25">
      <c r="A26" s="25"/>
      <c r="B26" s="17"/>
      <c r="C26" s="28"/>
      <c r="D26" s="28"/>
      <c r="E26" s="28"/>
      <c r="F26" s="28"/>
      <c r="G26" s="28"/>
      <c r="H26" s="28"/>
      <c r="I26" s="18"/>
      <c r="J26" s="31"/>
      <c r="K26"/>
      <c r="L26"/>
      <c r="M26"/>
      <c r="N26"/>
      <c r="O26"/>
      <c r="P26"/>
      <c r="Q26"/>
      <c r="R26"/>
      <c r="S26"/>
      <c r="T26"/>
      <c r="U26"/>
    </row>
    <row r="27" spans="1:21" ht="15" customHeight="1" x14ac:dyDescent="0.25">
      <c r="A27" s="25"/>
      <c r="B27" s="17"/>
      <c r="C27" s="28"/>
      <c r="D27" s="28"/>
      <c r="E27" s="28"/>
      <c r="F27" s="28"/>
      <c r="G27" s="28"/>
      <c r="H27" s="28"/>
      <c r="I27" s="18"/>
      <c r="J27" s="31"/>
      <c r="K27"/>
      <c r="L27"/>
      <c r="M27"/>
      <c r="N27"/>
      <c r="O27"/>
      <c r="P27"/>
      <c r="Q27"/>
      <c r="R27"/>
      <c r="S27"/>
      <c r="T27"/>
      <c r="U27"/>
    </row>
    <row r="28" spans="1:21" ht="15" customHeight="1" x14ac:dyDescent="0.25">
      <c r="A28" s="25"/>
      <c r="B28" s="17"/>
      <c r="C28" s="28"/>
      <c r="D28" s="28"/>
      <c r="E28" s="28"/>
      <c r="F28" s="28"/>
      <c r="G28" s="28"/>
      <c r="H28" s="28"/>
      <c r="I28" s="18"/>
      <c r="J28" s="31"/>
      <c r="K28"/>
      <c r="L28"/>
      <c r="M28"/>
      <c r="N28"/>
      <c r="O28"/>
      <c r="P28"/>
      <c r="Q28"/>
      <c r="R28"/>
      <c r="S28"/>
      <c r="T28"/>
      <c r="U28"/>
    </row>
    <row r="29" spans="1:21" ht="15" customHeight="1" x14ac:dyDescent="0.25">
      <c r="A29" s="22"/>
      <c r="B29" s="17"/>
      <c r="C29" s="17"/>
      <c r="D29" s="17"/>
      <c r="E29" s="17"/>
      <c r="F29" s="17"/>
      <c r="G29" s="17"/>
      <c r="H29" s="17"/>
      <c r="I29" s="18"/>
      <c r="J29" s="31"/>
      <c r="K29"/>
      <c r="L29"/>
      <c r="M29"/>
      <c r="N29"/>
      <c r="O29"/>
      <c r="P29"/>
      <c r="Q29"/>
      <c r="R29"/>
      <c r="S29"/>
      <c r="T29"/>
      <c r="U29"/>
    </row>
    <row r="30" spans="1:21" ht="15" customHeight="1" thickBot="1" x14ac:dyDescent="0.3">
      <c r="A30" s="24"/>
      <c r="B30" s="32"/>
      <c r="C30" s="32"/>
      <c r="D30" s="32"/>
      <c r="E30" s="32"/>
      <c r="F30" s="32"/>
      <c r="G30" s="32"/>
      <c r="H30" s="32"/>
      <c r="I30" s="33"/>
      <c r="J30" s="31"/>
      <c r="K30"/>
      <c r="L30"/>
      <c r="M30"/>
      <c r="N30"/>
      <c r="O30"/>
      <c r="P30"/>
      <c r="Q30"/>
      <c r="R30"/>
      <c r="S30"/>
      <c r="T30"/>
      <c r="U30"/>
    </row>
    <row r="31" spans="1:21" ht="15" customHeight="1" x14ac:dyDescent="0.25">
      <c r="B31" s="31"/>
      <c r="C31" s="31"/>
      <c r="D31" s="31"/>
      <c r="E31" s="31"/>
      <c r="F31" s="31"/>
      <c r="G31" s="31"/>
      <c r="H31" s="31"/>
      <c r="I31" s="31"/>
      <c r="J31" s="31"/>
      <c r="K31"/>
      <c r="L31"/>
      <c r="M31"/>
      <c r="N31"/>
      <c r="O31"/>
      <c r="P31"/>
      <c r="Q31"/>
      <c r="R31"/>
      <c r="S31"/>
      <c r="T31"/>
      <c r="U31"/>
    </row>
    <row r="32" spans="1:21" ht="15" customHeight="1" x14ac:dyDescent="0.25">
      <c r="J32" s="31"/>
      <c r="K32"/>
      <c r="L32"/>
      <c r="M32"/>
      <c r="N32"/>
      <c r="O32"/>
      <c r="P32"/>
      <c r="Q32"/>
      <c r="R32"/>
      <c r="S32"/>
      <c r="T32"/>
      <c r="U32"/>
    </row>
    <row r="33" spans="10:21" ht="15" customHeight="1" x14ac:dyDescent="0.25">
      <c r="J33" s="31"/>
      <c r="K33"/>
      <c r="L33"/>
      <c r="M33"/>
      <c r="N33"/>
      <c r="O33"/>
      <c r="P33"/>
      <c r="Q33"/>
      <c r="R33"/>
      <c r="S33"/>
      <c r="T33"/>
      <c r="U33"/>
    </row>
    <row r="34" spans="10:21" ht="15" customHeight="1" x14ac:dyDescent="0.25">
      <c r="J34" s="31"/>
      <c r="K34"/>
      <c r="L34"/>
      <c r="M34"/>
      <c r="N34"/>
      <c r="O34"/>
      <c r="P34"/>
      <c r="Q34"/>
      <c r="R34"/>
      <c r="S34"/>
      <c r="T34"/>
      <c r="U34"/>
    </row>
    <row r="35" spans="10:21" ht="15" customHeight="1" x14ac:dyDescent="0.25">
      <c r="J35" s="31"/>
      <c r="K35"/>
      <c r="L35"/>
      <c r="M35"/>
      <c r="N35"/>
      <c r="O35"/>
      <c r="P35"/>
      <c r="Q35"/>
      <c r="R35"/>
      <c r="S35"/>
      <c r="T35"/>
      <c r="U35"/>
    </row>
    <row r="36" spans="10:21" ht="15" customHeight="1" x14ac:dyDescent="0.25">
      <c r="J36" s="31"/>
      <c r="K36"/>
      <c r="L36"/>
      <c r="M36"/>
      <c r="N36"/>
      <c r="O36"/>
      <c r="P36"/>
      <c r="Q36"/>
      <c r="R36"/>
      <c r="S36"/>
      <c r="T36"/>
      <c r="U36"/>
    </row>
    <row r="37" spans="10:21" ht="15" customHeight="1" x14ac:dyDescent="0.25">
      <c r="J37" s="31"/>
      <c r="K37"/>
      <c r="L37"/>
      <c r="M37"/>
      <c r="N37"/>
      <c r="O37"/>
      <c r="P37"/>
      <c r="Q37"/>
      <c r="R37"/>
      <c r="S37"/>
      <c r="T37"/>
      <c r="U37"/>
    </row>
    <row r="38" spans="10:21" ht="15" customHeight="1" x14ac:dyDescent="0.25">
      <c r="J38" s="31"/>
      <c r="K38"/>
      <c r="L38"/>
      <c r="M38"/>
      <c r="N38"/>
      <c r="O38"/>
      <c r="P38"/>
      <c r="Q38"/>
      <c r="R38"/>
      <c r="S38"/>
      <c r="T38"/>
      <c r="U38"/>
    </row>
    <row r="39" spans="10:21" ht="15" customHeight="1" x14ac:dyDescent="0.25">
      <c r="J39" s="31"/>
      <c r="K39"/>
      <c r="L39"/>
      <c r="M39"/>
      <c r="N39"/>
      <c r="O39"/>
      <c r="P39"/>
      <c r="Q39"/>
      <c r="R39"/>
      <c r="S39"/>
      <c r="T39"/>
      <c r="U39"/>
    </row>
    <row r="40" spans="10:21" ht="15" customHeight="1" x14ac:dyDescent="0.25">
      <c r="J40" s="31"/>
      <c r="K40"/>
      <c r="L40"/>
      <c r="M40"/>
      <c r="N40"/>
      <c r="O40"/>
      <c r="P40"/>
      <c r="Q40"/>
      <c r="R40"/>
      <c r="S40"/>
      <c r="T40"/>
      <c r="U40"/>
    </row>
    <row r="41" spans="10:21" ht="15" customHeight="1" x14ac:dyDescent="0.25">
      <c r="J41" s="31"/>
      <c r="K41"/>
      <c r="L41"/>
      <c r="M41"/>
      <c r="N41"/>
      <c r="O41"/>
      <c r="P41"/>
      <c r="Q41"/>
      <c r="R41"/>
      <c r="S41"/>
      <c r="T41"/>
      <c r="U41"/>
    </row>
    <row r="42" spans="10:21" ht="15" customHeight="1" x14ac:dyDescent="0.25">
      <c r="J42" s="31"/>
      <c r="K42"/>
      <c r="L42"/>
      <c r="M42"/>
      <c r="N42"/>
      <c r="O42"/>
      <c r="P42"/>
      <c r="Q42"/>
      <c r="R42"/>
      <c r="S42"/>
      <c r="T42"/>
      <c r="U42"/>
    </row>
    <row r="43" spans="10:21" ht="15" customHeight="1" x14ac:dyDescent="0.25">
      <c r="J43" s="31"/>
      <c r="K43"/>
      <c r="L43"/>
      <c r="M43"/>
      <c r="N43"/>
      <c r="O43"/>
      <c r="P43"/>
      <c r="Q43"/>
      <c r="R43"/>
      <c r="S43"/>
      <c r="T43"/>
      <c r="U43"/>
    </row>
    <row r="44" spans="10:21" ht="15" customHeight="1" x14ac:dyDescent="0.25">
      <c r="J44" s="31"/>
      <c r="K44"/>
      <c r="L44"/>
      <c r="M44"/>
      <c r="N44"/>
      <c r="O44"/>
      <c r="P44"/>
      <c r="Q44"/>
      <c r="R44"/>
      <c r="S44"/>
      <c r="T44"/>
      <c r="U44"/>
    </row>
    <row r="45" spans="10:21" ht="15" customHeight="1" x14ac:dyDescent="0.25">
      <c r="J45" s="31"/>
      <c r="K45"/>
      <c r="L45"/>
      <c r="M45"/>
      <c r="N45"/>
      <c r="O45"/>
      <c r="P45"/>
      <c r="Q45"/>
      <c r="R45"/>
      <c r="S45"/>
      <c r="T45"/>
      <c r="U45"/>
    </row>
    <row r="46" spans="10:21" ht="15" customHeight="1" x14ac:dyDescent="0.25">
      <c r="J46" s="31"/>
      <c r="K46"/>
      <c r="L46"/>
      <c r="M46"/>
      <c r="N46"/>
      <c r="O46"/>
      <c r="P46"/>
      <c r="Q46"/>
      <c r="R46"/>
      <c r="S46"/>
      <c r="T46"/>
      <c r="U46"/>
    </row>
    <row r="47" spans="10:21" ht="15" customHeight="1" x14ac:dyDescent="0.25">
      <c r="J47" s="31"/>
      <c r="K47"/>
      <c r="L47"/>
      <c r="M47"/>
      <c r="N47"/>
      <c r="O47"/>
      <c r="P47"/>
      <c r="Q47"/>
      <c r="R47"/>
      <c r="S47"/>
      <c r="T47"/>
      <c r="U47"/>
    </row>
    <row r="48" spans="10:21" ht="15" customHeight="1" x14ac:dyDescent="0.25">
      <c r="J48" s="31"/>
      <c r="K48"/>
      <c r="L48"/>
      <c r="M48"/>
      <c r="N48"/>
      <c r="O48"/>
      <c r="P48"/>
      <c r="Q48"/>
      <c r="R48"/>
      <c r="S48"/>
      <c r="T48"/>
      <c r="U48"/>
    </row>
    <row r="49" spans="2:21" ht="15" customHeight="1" x14ac:dyDescent="0.25">
      <c r="J49" s="31"/>
      <c r="K49"/>
      <c r="L49"/>
      <c r="M49"/>
      <c r="N49"/>
      <c r="O49"/>
      <c r="P49"/>
      <c r="Q49"/>
      <c r="R49"/>
      <c r="S49"/>
      <c r="T49"/>
      <c r="U49"/>
    </row>
    <row r="50" spans="2:21" ht="15" customHeight="1" x14ac:dyDescent="0.25">
      <c r="J50" s="31"/>
      <c r="K50"/>
      <c r="L50"/>
      <c r="M50"/>
      <c r="N50"/>
      <c r="O50"/>
      <c r="P50"/>
      <c r="Q50"/>
      <c r="R50"/>
      <c r="S50"/>
      <c r="T50"/>
      <c r="U50"/>
    </row>
    <row r="51" spans="2:21" ht="15" customHeight="1" x14ac:dyDescent="0.25">
      <c r="J51" s="31"/>
      <c r="K51"/>
      <c r="L51"/>
      <c r="M51"/>
      <c r="N51"/>
      <c r="O51"/>
      <c r="P51"/>
      <c r="Q51"/>
      <c r="R51"/>
      <c r="S51"/>
      <c r="T51"/>
      <c r="U51"/>
    </row>
    <row r="52" spans="2:21" ht="15" customHeight="1" x14ac:dyDescent="0.25">
      <c r="J52" s="31"/>
      <c r="K52"/>
      <c r="L52"/>
      <c r="M52"/>
      <c r="N52"/>
      <c r="O52"/>
      <c r="P52"/>
      <c r="Q52"/>
      <c r="R52"/>
      <c r="S52"/>
      <c r="T52"/>
      <c r="U52"/>
    </row>
    <row r="53" spans="2:21" ht="15" customHeight="1" x14ac:dyDescent="0.25">
      <c r="J53" s="31"/>
      <c r="K53"/>
      <c r="L53"/>
      <c r="M53"/>
      <c r="N53"/>
      <c r="O53"/>
      <c r="P53"/>
      <c r="Q53"/>
      <c r="R53"/>
      <c r="S53"/>
      <c r="T53"/>
      <c r="U53"/>
    </row>
    <row r="54" spans="2:21" ht="15" customHeight="1" x14ac:dyDescent="0.25">
      <c r="B54" s="31"/>
      <c r="C54" s="31"/>
      <c r="D54" s="31"/>
      <c r="E54" s="31"/>
      <c r="F54" s="31"/>
      <c r="G54" s="31"/>
      <c r="H54" s="31"/>
      <c r="I54" s="31"/>
      <c r="J54" s="31"/>
      <c r="K54"/>
      <c r="L54"/>
      <c r="M54"/>
      <c r="N54"/>
      <c r="O54"/>
      <c r="P54"/>
      <c r="Q54"/>
      <c r="R54"/>
      <c r="S54"/>
      <c r="T54"/>
      <c r="U54"/>
    </row>
    <row r="55" spans="2:21" ht="15" customHeight="1" x14ac:dyDescent="0.25">
      <c r="B55" s="31"/>
      <c r="C55" s="31"/>
      <c r="D55" s="31"/>
      <c r="E55" s="31"/>
      <c r="F55" s="31"/>
      <c r="G55" s="31"/>
      <c r="H55" s="31"/>
      <c r="I55" s="31"/>
      <c r="J55" s="31"/>
      <c r="K55"/>
      <c r="L55"/>
      <c r="M55"/>
      <c r="N55"/>
      <c r="O55"/>
      <c r="P55"/>
      <c r="Q55"/>
      <c r="R55"/>
      <c r="S55"/>
      <c r="T55"/>
      <c r="U55"/>
    </row>
    <row r="56" spans="2:21" ht="15" customHeight="1" x14ac:dyDescent="0.25">
      <c r="B56" s="31"/>
      <c r="C56" s="31"/>
      <c r="D56" s="31"/>
      <c r="E56" s="31"/>
      <c r="F56" s="31"/>
      <c r="G56" s="31"/>
      <c r="H56" s="31"/>
      <c r="I56" s="31"/>
      <c r="J56" s="31"/>
      <c r="K56"/>
      <c r="L56"/>
      <c r="M56"/>
      <c r="N56"/>
      <c r="O56"/>
      <c r="P56"/>
      <c r="Q56"/>
      <c r="R56"/>
      <c r="S56"/>
      <c r="T56"/>
      <c r="U56"/>
    </row>
    <row r="57" spans="2:21" ht="15" customHeight="1" x14ac:dyDescent="0.25">
      <c r="B57" s="31"/>
      <c r="C57" s="31"/>
      <c r="D57" s="31"/>
      <c r="E57" s="31"/>
      <c r="F57" s="31"/>
      <c r="G57" s="31"/>
      <c r="H57" s="31"/>
      <c r="I57" s="31"/>
      <c r="J57" s="31"/>
      <c r="K57"/>
      <c r="L57"/>
      <c r="M57"/>
      <c r="N57"/>
      <c r="O57"/>
      <c r="P57"/>
      <c r="Q57"/>
      <c r="R57"/>
      <c r="S57"/>
      <c r="T57"/>
      <c r="U57"/>
    </row>
    <row r="58" spans="2:21" ht="15" customHeight="1" x14ac:dyDescent="0.25">
      <c r="B58" s="31"/>
      <c r="C58" s="31"/>
      <c r="D58" s="31"/>
      <c r="E58" s="31"/>
      <c r="F58" s="31"/>
      <c r="G58" s="31"/>
      <c r="H58" s="31"/>
      <c r="I58" s="31"/>
      <c r="J58" s="31"/>
      <c r="K58"/>
      <c r="L58"/>
      <c r="M58"/>
      <c r="N58"/>
      <c r="O58"/>
      <c r="P58"/>
      <c r="Q58"/>
      <c r="R58"/>
      <c r="S58"/>
      <c r="T58"/>
      <c r="U58"/>
    </row>
    <row r="59" spans="2:21" ht="15" customHeight="1" x14ac:dyDescent="0.25">
      <c r="B59" s="31"/>
      <c r="C59" s="31"/>
      <c r="D59" s="31"/>
      <c r="E59" s="31"/>
      <c r="F59" s="31"/>
      <c r="G59" s="31"/>
      <c r="H59" s="31"/>
      <c r="I59" s="31"/>
      <c r="J59" s="31"/>
      <c r="K59"/>
      <c r="L59"/>
      <c r="M59"/>
      <c r="N59"/>
      <c r="O59"/>
      <c r="P59"/>
      <c r="Q59"/>
      <c r="R59"/>
      <c r="S59"/>
      <c r="T59"/>
      <c r="U59"/>
    </row>
    <row r="60" spans="2:21" ht="15" customHeight="1" x14ac:dyDescent="0.25">
      <c r="B60" s="31"/>
      <c r="C60" s="31"/>
      <c r="D60" s="31"/>
      <c r="E60" s="31"/>
      <c r="F60" s="31"/>
      <c r="G60" s="31"/>
      <c r="H60" s="31"/>
      <c r="I60" s="31"/>
      <c r="J60" s="31"/>
      <c r="K60"/>
      <c r="L60"/>
      <c r="M60"/>
      <c r="N60"/>
      <c r="O60"/>
      <c r="P60"/>
      <c r="Q60"/>
      <c r="R60"/>
      <c r="S60"/>
      <c r="T60"/>
      <c r="U60"/>
    </row>
    <row r="61" spans="2:21" ht="15" customHeight="1" x14ac:dyDescent="0.25">
      <c r="B61" s="31"/>
      <c r="C61" s="31"/>
      <c r="D61" s="31"/>
      <c r="E61" s="31"/>
      <c r="F61" s="31"/>
      <c r="G61" s="31"/>
      <c r="H61" s="31"/>
      <c r="I61" s="31"/>
      <c r="J61" s="31"/>
      <c r="K61"/>
      <c r="L61"/>
      <c r="M61"/>
      <c r="N61"/>
      <c r="O61"/>
      <c r="P61"/>
      <c r="Q61"/>
      <c r="R61"/>
      <c r="S61"/>
      <c r="T61"/>
      <c r="U61"/>
    </row>
    <row r="62" spans="2:21" ht="15" customHeight="1" x14ac:dyDescent="0.25">
      <c r="B62" s="31"/>
      <c r="C62" s="31"/>
      <c r="D62" s="31"/>
      <c r="E62" s="31"/>
      <c r="F62" s="31"/>
      <c r="G62" s="31"/>
      <c r="H62" s="31"/>
      <c r="I62" s="31"/>
      <c r="J62" s="31"/>
      <c r="K62"/>
      <c r="L62"/>
      <c r="M62"/>
      <c r="N62"/>
      <c r="O62"/>
      <c r="P62"/>
      <c r="Q62"/>
      <c r="R62"/>
      <c r="S62"/>
      <c r="T62"/>
      <c r="U62"/>
    </row>
    <row r="63" spans="2:21" ht="15" customHeight="1" x14ac:dyDescent="0.25">
      <c r="B63" s="31"/>
      <c r="C63" s="31"/>
      <c r="D63" s="31"/>
      <c r="E63" s="31"/>
      <c r="F63" s="31"/>
      <c r="G63" s="31"/>
      <c r="H63" s="31"/>
      <c r="I63" s="31"/>
      <c r="J63" s="31"/>
      <c r="K63"/>
      <c r="L63"/>
      <c r="M63"/>
      <c r="N63"/>
      <c r="O63"/>
      <c r="P63"/>
      <c r="Q63"/>
      <c r="R63"/>
      <c r="S63"/>
      <c r="T63"/>
      <c r="U63"/>
    </row>
    <row r="64" spans="2:21" ht="15" customHeight="1" x14ac:dyDescent="0.25">
      <c r="B64" s="31"/>
      <c r="C64" s="31"/>
      <c r="D64" s="31"/>
      <c r="E64" s="31"/>
      <c r="F64" s="31"/>
      <c r="G64" s="31"/>
      <c r="H64" s="31"/>
      <c r="I64" s="31"/>
      <c r="J64" s="31"/>
      <c r="K64"/>
      <c r="L64"/>
      <c r="M64"/>
      <c r="N64"/>
      <c r="O64"/>
      <c r="P64"/>
      <c r="Q64"/>
      <c r="R64"/>
      <c r="S64"/>
      <c r="T64"/>
      <c r="U64"/>
    </row>
    <row r="65" spans="2:21" ht="15" customHeight="1" x14ac:dyDescent="0.25">
      <c r="B65" s="31"/>
      <c r="C65" s="31"/>
      <c r="D65" s="31"/>
      <c r="E65" s="31"/>
      <c r="F65" s="31"/>
      <c r="G65" s="31"/>
      <c r="H65" s="31"/>
      <c r="I65" s="31"/>
      <c r="J65" s="31"/>
      <c r="K65"/>
      <c r="L65"/>
      <c r="M65"/>
      <c r="N65"/>
      <c r="O65"/>
      <c r="P65"/>
      <c r="Q65"/>
      <c r="R65"/>
      <c r="S65"/>
      <c r="T65"/>
      <c r="U65"/>
    </row>
    <row r="66" spans="2:21" ht="15" customHeight="1" x14ac:dyDescent="0.25">
      <c r="B66" s="31"/>
      <c r="C66" s="31"/>
      <c r="D66" s="31"/>
      <c r="E66" s="31"/>
      <c r="F66" s="31"/>
      <c r="G66" s="31"/>
      <c r="H66" s="31"/>
      <c r="I66" s="31"/>
      <c r="J66" s="31"/>
      <c r="K66"/>
      <c r="L66"/>
      <c r="M66"/>
      <c r="N66"/>
      <c r="O66"/>
      <c r="P66"/>
      <c r="Q66"/>
      <c r="R66"/>
      <c r="S66"/>
      <c r="T66"/>
      <c r="U66"/>
    </row>
    <row r="67" spans="2:21" ht="15" customHeight="1" x14ac:dyDescent="0.25">
      <c r="B67" s="31"/>
      <c r="C67" s="31"/>
      <c r="D67" s="31"/>
      <c r="E67" s="31"/>
      <c r="F67" s="31"/>
      <c r="G67" s="31"/>
      <c r="H67" s="31"/>
      <c r="I67" s="31"/>
      <c r="J67" s="31"/>
      <c r="K67"/>
      <c r="L67"/>
      <c r="M67"/>
      <c r="N67"/>
      <c r="O67"/>
      <c r="P67"/>
      <c r="Q67"/>
      <c r="R67"/>
      <c r="S67"/>
      <c r="T67"/>
      <c r="U67"/>
    </row>
    <row r="68" spans="2:21" ht="15" customHeight="1" x14ac:dyDescent="0.25">
      <c r="B68" s="31"/>
      <c r="C68" s="31"/>
      <c r="D68" s="31"/>
      <c r="E68" s="31"/>
      <c r="F68" s="31"/>
      <c r="G68" s="31"/>
      <c r="H68" s="31"/>
      <c r="I68" s="31"/>
      <c r="J68" s="31"/>
      <c r="K68"/>
      <c r="L68"/>
      <c r="M68"/>
      <c r="N68"/>
      <c r="O68"/>
      <c r="P68"/>
      <c r="Q68"/>
      <c r="R68"/>
      <c r="S68"/>
      <c r="T68"/>
      <c r="U68"/>
    </row>
    <row r="69" spans="2:21" ht="15" customHeight="1" x14ac:dyDescent="0.25">
      <c r="B69" s="31"/>
      <c r="C69" s="31"/>
      <c r="D69" s="31"/>
      <c r="E69" s="31"/>
      <c r="F69" s="31"/>
      <c r="G69" s="31"/>
      <c r="H69" s="31"/>
      <c r="I69" s="31"/>
      <c r="J69" s="31"/>
      <c r="K69"/>
      <c r="L69"/>
      <c r="M69"/>
      <c r="N69"/>
      <c r="O69"/>
      <c r="P69"/>
      <c r="Q69"/>
      <c r="R69"/>
      <c r="S69"/>
      <c r="T69"/>
      <c r="U69"/>
    </row>
    <row r="70" spans="2:21" ht="15" customHeight="1" x14ac:dyDescent="0.25">
      <c r="B70" s="31"/>
      <c r="C70" s="31"/>
      <c r="D70" s="31"/>
      <c r="E70" s="31"/>
      <c r="F70" s="31"/>
      <c r="G70" s="31"/>
      <c r="H70" s="31"/>
      <c r="I70" s="31"/>
      <c r="J70" s="31"/>
      <c r="K70"/>
      <c r="L70"/>
      <c r="M70"/>
      <c r="N70"/>
      <c r="O70"/>
      <c r="P70"/>
      <c r="Q70"/>
      <c r="R70"/>
      <c r="S70"/>
      <c r="T70"/>
      <c r="U70"/>
    </row>
    <row r="71" spans="2:21" ht="15" customHeight="1" x14ac:dyDescent="0.25">
      <c r="B71" s="31"/>
      <c r="C71" s="31"/>
      <c r="D71" s="31"/>
      <c r="E71" s="31"/>
      <c r="F71" s="31"/>
      <c r="G71" s="31"/>
      <c r="H71" s="31"/>
      <c r="I71" s="31"/>
      <c r="J71" s="31"/>
      <c r="K71"/>
      <c r="L71"/>
      <c r="M71"/>
      <c r="N71"/>
      <c r="O71"/>
      <c r="P71"/>
      <c r="Q71"/>
      <c r="R71"/>
      <c r="S71"/>
      <c r="T71"/>
      <c r="U71"/>
    </row>
    <row r="72" spans="2:21" ht="15" customHeight="1" x14ac:dyDescent="0.25">
      <c r="B72" s="31"/>
      <c r="C72" s="31"/>
      <c r="D72" s="31"/>
      <c r="E72" s="31"/>
      <c r="F72" s="31"/>
      <c r="G72" s="31"/>
      <c r="H72" s="31"/>
      <c r="I72" s="31"/>
      <c r="J72" s="31"/>
      <c r="K72"/>
      <c r="L72"/>
      <c r="M72"/>
      <c r="N72"/>
      <c r="O72"/>
      <c r="P72"/>
      <c r="Q72"/>
      <c r="R72"/>
      <c r="S72"/>
      <c r="T72"/>
      <c r="U72"/>
    </row>
    <row r="73" spans="2:21" ht="15" customHeight="1" x14ac:dyDescent="0.25">
      <c r="B73" s="31"/>
      <c r="C73" s="31"/>
      <c r="D73" s="31"/>
      <c r="E73" s="31"/>
      <c r="F73" s="31"/>
      <c r="G73" s="31"/>
      <c r="H73" s="31"/>
      <c r="I73" s="31"/>
      <c r="J73" s="31"/>
      <c r="K73"/>
      <c r="L73"/>
      <c r="M73"/>
      <c r="N73"/>
      <c r="O73"/>
      <c r="P73"/>
      <c r="Q73"/>
      <c r="R73"/>
      <c r="S73"/>
      <c r="T73"/>
      <c r="U73"/>
    </row>
    <row r="74" spans="2:21" ht="15" customHeight="1" x14ac:dyDescent="0.25">
      <c r="B74" s="31"/>
      <c r="C74" s="31"/>
      <c r="D74" s="31"/>
      <c r="E74" s="31"/>
      <c r="F74" s="31"/>
      <c r="G74" s="31"/>
      <c r="H74" s="31"/>
      <c r="I74" s="31"/>
      <c r="J74" s="31"/>
      <c r="K74"/>
      <c r="L74"/>
      <c r="M74"/>
      <c r="N74"/>
      <c r="O74"/>
      <c r="P74"/>
      <c r="Q74"/>
      <c r="R74"/>
      <c r="S74"/>
      <c r="T74"/>
      <c r="U74"/>
    </row>
    <row r="75" spans="2:21" ht="15" customHeight="1" x14ac:dyDescent="0.25">
      <c r="B75" s="31"/>
      <c r="C75" s="31"/>
      <c r="D75" s="31"/>
      <c r="E75" s="31"/>
      <c r="F75" s="31"/>
      <c r="G75" s="31"/>
      <c r="H75" s="31"/>
      <c r="I75" s="31"/>
      <c r="J75" s="31"/>
      <c r="K75"/>
      <c r="L75"/>
      <c r="M75"/>
      <c r="N75"/>
      <c r="O75"/>
      <c r="P75"/>
      <c r="Q75"/>
      <c r="R75"/>
      <c r="S75"/>
      <c r="T75"/>
      <c r="U75"/>
    </row>
    <row r="76" spans="2:21" ht="15" customHeight="1" x14ac:dyDescent="0.25">
      <c r="B76" s="31"/>
      <c r="C76" s="31"/>
      <c r="D76" s="31"/>
      <c r="E76" s="31"/>
      <c r="F76" s="31"/>
      <c r="G76" s="31"/>
      <c r="H76" s="31"/>
      <c r="I76" s="31"/>
      <c r="J76" s="31"/>
      <c r="K76"/>
      <c r="L76"/>
      <c r="M76"/>
      <c r="N76"/>
      <c r="O76"/>
      <c r="P76"/>
      <c r="Q76"/>
      <c r="R76"/>
      <c r="S76"/>
      <c r="T76"/>
      <c r="U76"/>
    </row>
    <row r="77" spans="2:21" ht="15" customHeight="1" x14ac:dyDescent="0.25">
      <c r="B77" s="31"/>
      <c r="C77" s="31"/>
      <c r="D77" s="31"/>
      <c r="E77" s="31"/>
      <c r="F77" s="31"/>
      <c r="G77" s="31"/>
      <c r="H77" s="31"/>
      <c r="I77" s="31"/>
      <c r="J77" s="31"/>
      <c r="K77"/>
      <c r="L77"/>
      <c r="M77"/>
      <c r="N77"/>
      <c r="O77"/>
      <c r="P77"/>
      <c r="Q77"/>
      <c r="R77"/>
      <c r="S77"/>
      <c r="T77"/>
      <c r="U77"/>
    </row>
    <row r="78" spans="2:21" ht="15" customHeight="1" x14ac:dyDescent="0.25">
      <c r="B78" s="31"/>
      <c r="C78" s="31"/>
      <c r="D78" s="31"/>
      <c r="E78" s="31"/>
      <c r="F78" s="31"/>
      <c r="G78" s="31"/>
      <c r="H78" s="31"/>
      <c r="I78" s="31"/>
      <c r="J78" s="31"/>
      <c r="K78"/>
      <c r="L78"/>
      <c r="M78"/>
      <c r="N78"/>
      <c r="O78"/>
      <c r="P78"/>
      <c r="Q78"/>
      <c r="R78"/>
      <c r="S78"/>
      <c r="T78"/>
      <c r="U78"/>
    </row>
    <row r="79" spans="2:21" ht="15" customHeight="1" x14ac:dyDescent="0.25">
      <c r="B79" s="31"/>
      <c r="C79" s="31"/>
      <c r="D79" s="31"/>
      <c r="E79" s="31"/>
      <c r="F79" s="31"/>
      <c r="G79" s="31"/>
      <c r="H79" s="31"/>
      <c r="I79" s="31"/>
      <c r="J79" s="31"/>
      <c r="K79"/>
      <c r="L79"/>
      <c r="M79"/>
      <c r="N79"/>
      <c r="O79"/>
      <c r="P79"/>
      <c r="Q79"/>
      <c r="R79"/>
      <c r="S79"/>
      <c r="T79"/>
      <c r="U79"/>
    </row>
    <row r="80" spans="2:21" ht="15" customHeight="1" x14ac:dyDescent="0.25">
      <c r="B80" s="31"/>
      <c r="C80" s="31"/>
      <c r="D80" s="31"/>
      <c r="E80" s="31"/>
      <c r="F80" s="31"/>
      <c r="G80" s="31"/>
      <c r="H80" s="31"/>
      <c r="I80" s="31"/>
      <c r="J80" s="31"/>
      <c r="K80"/>
      <c r="L80"/>
      <c r="M80"/>
      <c r="N80"/>
      <c r="O80"/>
      <c r="P80"/>
      <c r="Q80"/>
      <c r="R80"/>
      <c r="S80"/>
      <c r="T80"/>
      <c r="U80"/>
    </row>
    <row r="81" spans="2:21" ht="15" customHeight="1" x14ac:dyDescent="0.25">
      <c r="B81" s="31"/>
      <c r="C81" s="31"/>
      <c r="D81" s="31"/>
      <c r="E81" s="31"/>
      <c r="F81" s="31"/>
      <c r="G81" s="31"/>
      <c r="H81" s="31"/>
      <c r="I81" s="31"/>
      <c r="J81" s="31"/>
      <c r="K81"/>
      <c r="L81"/>
      <c r="M81"/>
      <c r="N81"/>
      <c r="O81"/>
      <c r="P81"/>
      <c r="Q81"/>
      <c r="R81"/>
      <c r="S81"/>
      <c r="T81"/>
      <c r="U81"/>
    </row>
    <row r="82" spans="2:21" ht="15" customHeight="1" x14ac:dyDescent="0.25">
      <c r="B82" s="31"/>
      <c r="C82" s="31"/>
      <c r="D82" s="31"/>
      <c r="E82" s="31"/>
      <c r="F82" s="31"/>
      <c r="G82" s="31"/>
      <c r="H82" s="31"/>
      <c r="I82" s="31"/>
      <c r="J82" s="31"/>
      <c r="K82"/>
      <c r="L82"/>
      <c r="M82"/>
      <c r="N82"/>
      <c r="O82"/>
      <c r="P82"/>
      <c r="Q82"/>
      <c r="R82"/>
      <c r="S82"/>
      <c r="T82"/>
      <c r="U82"/>
    </row>
    <row r="83" spans="2:21" ht="15" customHeight="1" x14ac:dyDescent="0.25">
      <c r="B83" s="31"/>
      <c r="C83" s="31"/>
      <c r="D83" s="31"/>
      <c r="E83" s="31"/>
      <c r="F83" s="31"/>
      <c r="G83" s="31"/>
      <c r="H83" s="31"/>
      <c r="I83" s="31"/>
      <c r="J83" s="31"/>
      <c r="K83"/>
      <c r="L83"/>
      <c r="M83"/>
      <c r="N83"/>
      <c r="O83"/>
      <c r="P83"/>
      <c r="Q83"/>
      <c r="R83"/>
      <c r="S83"/>
      <c r="T83"/>
      <c r="U83"/>
    </row>
    <row r="84" spans="2:21" ht="15" customHeight="1" x14ac:dyDescent="0.25">
      <c r="B84" s="31"/>
      <c r="C84" s="31"/>
      <c r="D84" s="31"/>
      <c r="E84" s="31"/>
      <c r="F84" s="31"/>
      <c r="G84" s="31"/>
      <c r="H84" s="31"/>
      <c r="I84" s="31"/>
      <c r="J84" s="31"/>
      <c r="K84"/>
      <c r="L84"/>
      <c r="M84"/>
      <c r="N84"/>
      <c r="O84"/>
      <c r="P84"/>
      <c r="Q84"/>
      <c r="R84"/>
      <c r="S84"/>
      <c r="T84"/>
      <c r="U84"/>
    </row>
    <row r="85" spans="2:21" ht="15" customHeight="1" x14ac:dyDescent="0.25">
      <c r="B85" s="31"/>
      <c r="C85" s="31"/>
      <c r="D85" s="31"/>
      <c r="E85" s="31"/>
      <c r="F85" s="31"/>
      <c r="G85" s="31"/>
      <c r="H85" s="31"/>
      <c r="I85" s="31"/>
      <c r="J85" s="31"/>
      <c r="K85"/>
      <c r="L85"/>
      <c r="M85"/>
      <c r="N85"/>
      <c r="O85"/>
      <c r="P85"/>
      <c r="Q85"/>
      <c r="R85"/>
      <c r="S85"/>
      <c r="T85"/>
      <c r="U85"/>
    </row>
    <row r="86" spans="2:21" ht="15" customHeight="1" x14ac:dyDescent="0.25">
      <c r="B86" s="31"/>
      <c r="C86" s="31"/>
      <c r="D86" s="31"/>
      <c r="E86" s="31"/>
      <c r="F86" s="31"/>
      <c r="G86" s="31"/>
      <c r="H86" s="31"/>
      <c r="I86" s="31"/>
      <c r="J86" s="31"/>
      <c r="K86"/>
      <c r="L86"/>
      <c r="M86"/>
      <c r="N86"/>
      <c r="O86"/>
      <c r="P86"/>
      <c r="Q86"/>
      <c r="R86"/>
      <c r="S86"/>
      <c r="T86"/>
      <c r="U86"/>
    </row>
    <row r="87" spans="2:21" ht="15" customHeight="1" x14ac:dyDescent="0.25">
      <c r="B87" s="31"/>
      <c r="C87" s="31"/>
      <c r="D87" s="31"/>
      <c r="E87" s="31"/>
      <c r="F87" s="31"/>
      <c r="G87" s="31"/>
      <c r="H87" s="31"/>
      <c r="I87" s="31"/>
      <c r="J87" s="31"/>
      <c r="K87"/>
      <c r="L87"/>
      <c r="M87"/>
      <c r="N87"/>
      <c r="O87"/>
      <c r="P87"/>
      <c r="Q87"/>
      <c r="R87"/>
      <c r="S87"/>
      <c r="T87"/>
      <c r="U87"/>
    </row>
    <row r="88" spans="2:21" ht="15" customHeight="1" x14ac:dyDescent="0.25">
      <c r="B88" s="31"/>
      <c r="C88" s="31"/>
      <c r="D88" s="31"/>
      <c r="E88" s="31"/>
      <c r="F88" s="31"/>
      <c r="G88" s="31"/>
      <c r="H88" s="31"/>
      <c r="I88" s="31"/>
      <c r="J88" s="31"/>
      <c r="K88"/>
      <c r="L88"/>
      <c r="M88"/>
      <c r="N88"/>
      <c r="O88"/>
      <c r="P88"/>
      <c r="Q88"/>
      <c r="R88"/>
      <c r="S88"/>
      <c r="T88"/>
      <c r="U88"/>
    </row>
    <row r="89" spans="2:21" ht="15" customHeight="1" x14ac:dyDescent="0.25">
      <c r="B89" s="31"/>
      <c r="C89" s="31"/>
      <c r="D89" s="31"/>
      <c r="E89" s="31"/>
      <c r="F89" s="31"/>
      <c r="G89" s="31"/>
      <c r="H89" s="31"/>
      <c r="I89" s="31"/>
      <c r="J89" s="31"/>
      <c r="K89"/>
      <c r="L89"/>
      <c r="M89"/>
      <c r="N89"/>
      <c r="O89"/>
      <c r="P89"/>
      <c r="Q89"/>
      <c r="R89"/>
      <c r="S89"/>
      <c r="T89"/>
      <c r="U89"/>
    </row>
    <row r="90" spans="2:21" ht="15" customHeight="1" x14ac:dyDescent="0.25">
      <c r="B90" s="31"/>
      <c r="C90" s="31"/>
      <c r="D90" s="31"/>
      <c r="E90" s="31"/>
      <c r="F90" s="31"/>
      <c r="G90" s="31"/>
      <c r="H90" s="31"/>
      <c r="I90" s="31"/>
      <c r="J90" s="31"/>
      <c r="K90"/>
      <c r="L90"/>
      <c r="M90"/>
      <c r="N90"/>
      <c r="O90"/>
      <c r="P90"/>
      <c r="Q90"/>
      <c r="R90"/>
      <c r="S90"/>
      <c r="T90"/>
      <c r="U90"/>
    </row>
    <row r="91" spans="2:21" ht="15" customHeight="1" x14ac:dyDescent="0.25">
      <c r="B91" s="31"/>
      <c r="C91" s="31"/>
      <c r="D91" s="31"/>
      <c r="E91" s="31"/>
      <c r="F91" s="31"/>
      <c r="G91" s="31"/>
      <c r="H91" s="31"/>
      <c r="I91" s="31"/>
      <c r="J91" s="31"/>
      <c r="K91"/>
      <c r="L91"/>
      <c r="M91"/>
      <c r="N91"/>
      <c r="O91"/>
      <c r="P91"/>
      <c r="Q91"/>
      <c r="R91"/>
      <c r="S91"/>
      <c r="T91"/>
      <c r="U91"/>
    </row>
    <row r="92" spans="2:21" ht="15" customHeight="1" x14ac:dyDescent="0.25">
      <c r="B92" s="31"/>
      <c r="C92" s="31"/>
      <c r="D92" s="31"/>
      <c r="E92" s="31"/>
      <c r="F92" s="31"/>
      <c r="G92" s="31"/>
      <c r="H92" s="31"/>
      <c r="I92" s="31"/>
      <c r="J92" s="31"/>
      <c r="K92"/>
      <c r="L92"/>
      <c r="M92"/>
      <c r="N92"/>
      <c r="O92"/>
      <c r="P92"/>
      <c r="Q92"/>
      <c r="R92"/>
      <c r="S92"/>
      <c r="T92"/>
      <c r="U92"/>
    </row>
    <row r="93" spans="2:21" ht="15" customHeight="1" x14ac:dyDescent="0.25">
      <c r="B93" s="31"/>
      <c r="C93" s="31"/>
      <c r="D93" s="31"/>
      <c r="E93" s="31"/>
      <c r="F93" s="31"/>
      <c r="G93" s="31"/>
      <c r="H93" s="31"/>
      <c r="I93" s="31"/>
      <c r="J93" s="31"/>
      <c r="K93"/>
      <c r="L93"/>
      <c r="M93"/>
      <c r="N93"/>
      <c r="O93"/>
      <c r="P93"/>
      <c r="Q93"/>
      <c r="R93"/>
      <c r="S93"/>
      <c r="T93"/>
      <c r="U93"/>
    </row>
    <row r="94" spans="2:21" ht="15" customHeight="1" x14ac:dyDescent="0.25">
      <c r="B94" s="31"/>
      <c r="C94" s="31"/>
      <c r="D94" s="31"/>
      <c r="E94" s="31"/>
      <c r="F94" s="31"/>
      <c r="G94" s="31"/>
      <c r="H94" s="31"/>
      <c r="I94" s="31"/>
      <c r="J94" s="31"/>
      <c r="K94"/>
      <c r="L94"/>
      <c r="M94"/>
      <c r="N94"/>
      <c r="O94"/>
      <c r="P94"/>
      <c r="Q94"/>
      <c r="R94"/>
      <c r="S94"/>
      <c r="T94"/>
      <c r="U94"/>
    </row>
    <row r="95" spans="2:21" ht="15" customHeight="1" x14ac:dyDescent="0.25">
      <c r="B95" s="31"/>
      <c r="C95" s="31"/>
      <c r="D95" s="31"/>
      <c r="E95" s="31"/>
      <c r="F95" s="31"/>
      <c r="G95" s="31"/>
      <c r="H95" s="31"/>
      <c r="I95" s="31"/>
      <c r="J95" s="31"/>
      <c r="K95"/>
      <c r="L95"/>
      <c r="M95"/>
      <c r="N95"/>
      <c r="O95"/>
      <c r="P95"/>
      <c r="Q95"/>
      <c r="R95"/>
      <c r="S95"/>
      <c r="T95"/>
      <c r="U95"/>
    </row>
    <row r="96" spans="2:21" ht="15" customHeight="1" x14ac:dyDescent="0.25">
      <c r="B96" s="31"/>
      <c r="C96" s="31"/>
      <c r="D96" s="31"/>
      <c r="E96" s="31"/>
      <c r="F96" s="31"/>
      <c r="G96" s="31"/>
      <c r="H96" s="31"/>
      <c r="I96" s="31"/>
      <c r="J96" s="31"/>
      <c r="K96"/>
      <c r="L96"/>
      <c r="M96"/>
      <c r="N96"/>
      <c r="O96"/>
      <c r="P96"/>
      <c r="Q96"/>
      <c r="R96"/>
      <c r="S96"/>
      <c r="T96"/>
      <c r="U96"/>
    </row>
    <row r="97" spans="2:21" ht="15" customHeight="1" x14ac:dyDescent="0.25">
      <c r="B97" s="31"/>
      <c r="C97" s="31"/>
      <c r="D97" s="31"/>
      <c r="E97" s="31"/>
      <c r="F97" s="31"/>
      <c r="G97" s="31"/>
      <c r="H97" s="31"/>
      <c r="I97" s="31"/>
      <c r="J97" s="31"/>
      <c r="K97"/>
      <c r="L97"/>
      <c r="M97"/>
      <c r="N97"/>
      <c r="O97"/>
      <c r="P97"/>
      <c r="Q97"/>
      <c r="R97"/>
      <c r="S97"/>
      <c r="T97"/>
      <c r="U97"/>
    </row>
    <row r="98" spans="2:21" ht="15" customHeight="1" x14ac:dyDescent="0.25">
      <c r="B98" s="31"/>
      <c r="C98" s="31"/>
      <c r="D98" s="31"/>
      <c r="E98" s="31"/>
      <c r="F98" s="31"/>
      <c r="G98" s="31"/>
      <c r="H98" s="31"/>
      <c r="I98" s="31"/>
      <c r="J98" s="31"/>
      <c r="K98"/>
      <c r="L98"/>
      <c r="M98"/>
      <c r="N98"/>
      <c r="O98"/>
      <c r="P98"/>
      <c r="Q98"/>
      <c r="R98"/>
      <c r="S98"/>
      <c r="T98"/>
      <c r="U98"/>
    </row>
    <row r="99" spans="2:21" ht="15" customHeight="1" x14ac:dyDescent="0.25">
      <c r="B99" s="31"/>
      <c r="C99" s="31"/>
      <c r="D99" s="31"/>
      <c r="E99" s="31"/>
      <c r="F99" s="31"/>
      <c r="G99" s="31"/>
      <c r="H99" s="31"/>
      <c r="I99" s="31"/>
      <c r="J99" s="31"/>
      <c r="K99"/>
      <c r="L99"/>
      <c r="M99"/>
      <c r="N99"/>
      <c r="O99"/>
      <c r="P99"/>
      <c r="Q99"/>
      <c r="R99"/>
      <c r="S99"/>
      <c r="T99"/>
      <c r="U99"/>
    </row>
    <row r="100" spans="2:21" ht="15" customHeight="1" x14ac:dyDescent="0.25">
      <c r="B100" s="31"/>
      <c r="C100" s="31"/>
      <c r="D100" s="31"/>
      <c r="E100" s="31"/>
      <c r="F100" s="31"/>
      <c r="G100" s="31"/>
      <c r="H100" s="31"/>
      <c r="I100" s="31"/>
      <c r="J100" s="31"/>
      <c r="K100"/>
      <c r="L100"/>
      <c r="M100"/>
      <c r="N100"/>
      <c r="O100"/>
      <c r="P100"/>
      <c r="Q100"/>
      <c r="R100"/>
      <c r="S100"/>
      <c r="T100"/>
      <c r="U100"/>
    </row>
    <row r="101" spans="2:21" ht="15" customHeight="1" x14ac:dyDescent="0.25">
      <c r="B101" s="31"/>
      <c r="C101" s="31"/>
      <c r="D101" s="31"/>
      <c r="E101" s="31"/>
      <c r="F101" s="31"/>
      <c r="G101" s="31"/>
      <c r="H101" s="31"/>
      <c r="I101" s="31"/>
      <c r="J101" s="31"/>
      <c r="K101"/>
      <c r="L101"/>
      <c r="M101"/>
      <c r="N101"/>
      <c r="O101"/>
      <c r="P101"/>
      <c r="Q101"/>
      <c r="R101"/>
      <c r="S101"/>
      <c r="T101"/>
      <c r="U101"/>
    </row>
    <row r="102" spans="2:21" ht="15" customHeight="1" x14ac:dyDescent="0.25">
      <c r="B102" s="31"/>
      <c r="C102" s="31"/>
      <c r="D102" s="31"/>
      <c r="E102" s="31"/>
      <c r="F102" s="31"/>
      <c r="G102" s="31"/>
      <c r="H102" s="31"/>
      <c r="I102" s="31"/>
      <c r="J102" s="31"/>
      <c r="K102"/>
      <c r="L102"/>
      <c r="M102"/>
      <c r="N102"/>
      <c r="O102"/>
      <c r="P102"/>
      <c r="Q102"/>
      <c r="R102"/>
      <c r="S102"/>
      <c r="T102"/>
      <c r="U102"/>
    </row>
    <row r="103" spans="2:21" ht="15" customHeight="1" x14ac:dyDescent="0.25">
      <c r="B103" s="31"/>
      <c r="C103" s="31"/>
      <c r="D103" s="31"/>
      <c r="E103" s="31"/>
      <c r="F103" s="31"/>
      <c r="G103" s="31"/>
      <c r="H103" s="31"/>
      <c r="I103" s="31"/>
      <c r="J103" s="31"/>
      <c r="K103"/>
      <c r="L103"/>
      <c r="M103"/>
      <c r="N103"/>
      <c r="O103"/>
      <c r="P103"/>
      <c r="Q103"/>
      <c r="R103"/>
      <c r="S103"/>
      <c r="T103"/>
      <c r="U103"/>
    </row>
    <row r="104" spans="2:21" ht="15" customHeight="1" x14ac:dyDescent="0.25">
      <c r="B104" s="31"/>
      <c r="C104" s="31"/>
      <c r="D104" s="31"/>
      <c r="E104" s="31"/>
      <c r="F104" s="31"/>
      <c r="G104" s="31"/>
      <c r="H104" s="31"/>
      <c r="I104" s="31"/>
      <c r="J104" s="31"/>
      <c r="K104"/>
      <c r="L104"/>
      <c r="M104"/>
      <c r="N104"/>
      <c r="O104"/>
      <c r="P104"/>
      <c r="Q104"/>
      <c r="R104"/>
      <c r="S104"/>
      <c r="T104"/>
      <c r="U104"/>
    </row>
    <row r="105" spans="2:21" ht="15" customHeight="1" x14ac:dyDescent="0.25">
      <c r="B105" s="31"/>
      <c r="C105" s="31"/>
      <c r="D105" s="31"/>
      <c r="E105" s="31"/>
      <c r="F105" s="31"/>
      <c r="G105" s="31"/>
      <c r="H105" s="31"/>
      <c r="I105" s="31"/>
      <c r="J105" s="31"/>
      <c r="K105"/>
      <c r="L105"/>
      <c r="M105"/>
      <c r="N105"/>
      <c r="O105"/>
      <c r="P105"/>
      <c r="Q105"/>
      <c r="R105"/>
      <c r="S105"/>
      <c r="T105"/>
      <c r="U105"/>
    </row>
    <row r="106" spans="2:21" ht="15" customHeight="1" x14ac:dyDescent="0.25">
      <c r="B106" s="31"/>
      <c r="C106" s="31"/>
      <c r="D106" s="31"/>
      <c r="E106" s="31"/>
      <c r="F106" s="31"/>
      <c r="G106" s="31"/>
      <c r="H106" s="31"/>
      <c r="I106" s="31"/>
      <c r="J106" s="31"/>
      <c r="K106"/>
      <c r="L106"/>
      <c r="M106"/>
      <c r="N106"/>
      <c r="O106"/>
      <c r="P106"/>
      <c r="Q106"/>
      <c r="R106"/>
      <c r="S106"/>
      <c r="T106"/>
      <c r="U106"/>
    </row>
    <row r="107" spans="2:21" ht="15" customHeight="1" x14ac:dyDescent="0.25">
      <c r="B107" s="31"/>
      <c r="C107" s="31"/>
      <c r="D107" s="31"/>
      <c r="E107" s="31"/>
      <c r="F107" s="31"/>
      <c r="G107" s="31"/>
      <c r="H107" s="31"/>
      <c r="I107" s="31"/>
      <c r="J107" s="31"/>
      <c r="K107"/>
      <c r="L107"/>
      <c r="M107"/>
      <c r="N107"/>
      <c r="O107"/>
      <c r="P107"/>
      <c r="Q107"/>
      <c r="R107"/>
      <c r="S107"/>
      <c r="T107"/>
      <c r="U107"/>
    </row>
    <row r="108" spans="2:21" ht="15" customHeight="1" x14ac:dyDescent="0.25">
      <c r="B108" s="31"/>
      <c r="C108" s="31"/>
      <c r="D108" s="31"/>
      <c r="E108" s="31"/>
      <c r="F108" s="31"/>
      <c r="G108" s="31"/>
      <c r="H108" s="31"/>
      <c r="I108" s="31"/>
      <c r="J108" s="31"/>
      <c r="K108"/>
      <c r="L108"/>
      <c r="M108"/>
      <c r="N108"/>
      <c r="O108"/>
      <c r="P108"/>
      <c r="Q108"/>
      <c r="R108"/>
      <c r="S108"/>
      <c r="T108"/>
      <c r="U108"/>
    </row>
    <row r="109" spans="2:21" ht="15" customHeight="1" x14ac:dyDescent="0.25">
      <c r="B109" s="31"/>
      <c r="C109" s="31"/>
      <c r="D109" s="31"/>
      <c r="E109" s="31"/>
      <c r="F109" s="31"/>
      <c r="G109" s="31"/>
      <c r="H109" s="31"/>
      <c r="I109" s="31"/>
      <c r="J109" s="31"/>
      <c r="K109"/>
      <c r="L109"/>
      <c r="M109"/>
      <c r="N109"/>
      <c r="O109"/>
      <c r="P109"/>
      <c r="Q109"/>
      <c r="R109"/>
      <c r="S109"/>
      <c r="T109"/>
      <c r="U109"/>
    </row>
  </sheetData>
  <mergeCells count="1">
    <mergeCell ref="H1:I1"/>
  </mergeCells>
  <conditionalFormatting sqref="B1">
    <cfRule type="cellIs" dxfId="68" priority="1" operator="equal">
      <formula>"Incomplete"</formula>
    </cfRule>
    <cfRule type="cellIs" dxfId="67" priority="2" operator="equal">
      <formula>"Flag for Review"</formula>
    </cfRule>
    <cfRule type="cellIs" dxfId="66" priority="3" operator="equal">
      <formula>"Finished"</formula>
    </cfRule>
  </conditionalFormatting>
  <dataValidations count="1">
    <dataValidation type="list" allowBlank="1" showInputMessage="1" showErrorMessage="1" sqref="B1">
      <formula1>"Finished, Flag for Review, Incomplete"</formula1>
    </dataValidation>
  </dataValidations>
  <hyperlinks>
    <hyperlink ref="H1" location="'Point Grid'!A8" display="Return to Point Grid"/>
    <hyperlink ref="H1:I1" location="'Point Grid'!A1" display="Return to Point Grid"/>
  </hyperlink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/>
  <dimension ref="A1:U101"/>
  <sheetViews>
    <sheetView zoomScaleNormal="100" workbookViewId="0"/>
  </sheetViews>
  <sheetFormatPr defaultColWidth="9.140625" defaultRowHeight="15" x14ac:dyDescent="0.25"/>
  <cols>
    <col min="1" max="1" width="9.140625" style="21"/>
    <col min="2" max="2" width="16" style="21" bestFit="1" customWidth="1"/>
    <col min="3" max="3" width="11.140625" style="21" customWidth="1"/>
    <col min="4" max="6" width="12.7109375" style="21" customWidth="1"/>
    <col min="7" max="7" width="6.7109375" style="21" customWidth="1"/>
    <col min="8" max="8" width="11.140625" style="21" customWidth="1"/>
    <col min="9" max="9" width="6.7109375" style="21" customWidth="1"/>
    <col min="10" max="16384" width="9.140625" style="21"/>
  </cols>
  <sheetData>
    <row r="1" spans="1:21" x14ac:dyDescent="0.25">
      <c r="A1" s="7">
        <v>9</v>
      </c>
      <c r="B1" s="27" t="s">
        <v>12</v>
      </c>
      <c r="C1" s="20"/>
      <c r="D1" s="20"/>
      <c r="E1" s="20"/>
      <c r="F1" s="20"/>
      <c r="G1" s="20"/>
      <c r="H1" s="384" t="s">
        <v>24</v>
      </c>
      <c r="I1" s="385"/>
      <c r="K1"/>
      <c r="L1"/>
      <c r="M1"/>
      <c r="N1"/>
      <c r="O1"/>
      <c r="P1"/>
      <c r="Q1"/>
      <c r="R1"/>
      <c r="S1"/>
      <c r="T1"/>
      <c r="U1"/>
    </row>
    <row r="2" spans="1:21" x14ac:dyDescent="0.25">
      <c r="A2" s="22"/>
      <c r="B2" s="19"/>
      <c r="C2" s="19"/>
      <c r="D2" s="19"/>
      <c r="E2" s="19"/>
      <c r="F2" s="19"/>
      <c r="G2" s="19"/>
      <c r="H2" s="19"/>
      <c r="I2" s="23"/>
      <c r="K2"/>
      <c r="L2"/>
      <c r="M2"/>
      <c r="N2"/>
      <c r="O2"/>
      <c r="P2"/>
      <c r="Q2"/>
      <c r="R2"/>
      <c r="S2"/>
      <c r="T2"/>
      <c r="U2"/>
    </row>
    <row r="3" spans="1:21" x14ac:dyDescent="0.25">
      <c r="A3" s="8" t="s">
        <v>13</v>
      </c>
      <c r="B3" s="17"/>
      <c r="C3" s="17"/>
      <c r="D3" s="17"/>
      <c r="E3" s="17"/>
      <c r="F3" s="17"/>
      <c r="G3" s="17"/>
      <c r="H3" s="17"/>
      <c r="I3" s="18"/>
      <c r="J3" s="31"/>
      <c r="K3"/>
      <c r="L3"/>
      <c r="M3"/>
      <c r="N3"/>
      <c r="O3"/>
      <c r="P3"/>
      <c r="Q3"/>
      <c r="R3"/>
      <c r="S3"/>
      <c r="T3"/>
      <c r="U3"/>
    </row>
    <row r="4" spans="1:21" x14ac:dyDescent="0.25">
      <c r="A4" s="9">
        <f>INDEX('Point Grid'!B:B,MATCH(A1,'Point Grid'!A:A,0))</f>
        <v>2.5</v>
      </c>
      <c r="B4" s="17"/>
      <c r="C4" s="17"/>
      <c r="D4" s="17"/>
      <c r="E4" s="17"/>
      <c r="F4" s="17"/>
      <c r="G4" s="17"/>
      <c r="H4" s="17"/>
      <c r="I4" s="18"/>
      <c r="J4" s="31"/>
      <c r="K4"/>
      <c r="L4"/>
      <c r="M4"/>
      <c r="N4"/>
      <c r="O4"/>
      <c r="P4"/>
      <c r="Q4"/>
      <c r="R4"/>
      <c r="S4"/>
      <c r="T4"/>
      <c r="U4"/>
    </row>
    <row r="5" spans="1:21" x14ac:dyDescent="0.25">
      <c r="A5" s="16"/>
      <c r="B5" s="17"/>
      <c r="C5" s="17"/>
      <c r="D5" s="17"/>
      <c r="E5" s="17"/>
      <c r="F5" s="17"/>
      <c r="G5" s="17"/>
      <c r="H5" s="17"/>
      <c r="I5" s="18"/>
      <c r="J5" s="31"/>
      <c r="K5"/>
      <c r="L5"/>
      <c r="M5"/>
      <c r="N5"/>
      <c r="O5"/>
      <c r="P5"/>
      <c r="Q5"/>
      <c r="R5"/>
      <c r="S5"/>
      <c r="T5"/>
      <c r="U5"/>
    </row>
    <row r="6" spans="1:21" x14ac:dyDescent="0.25">
      <c r="A6" s="25" t="s">
        <v>2</v>
      </c>
      <c r="B6" s="17" t="s">
        <v>71</v>
      </c>
      <c r="C6" s="17"/>
      <c r="D6" s="17"/>
      <c r="E6" s="17"/>
      <c r="F6" s="17"/>
      <c r="G6" s="17"/>
      <c r="H6" s="17"/>
      <c r="I6" s="18"/>
      <c r="J6" s="31"/>
      <c r="K6"/>
      <c r="L6"/>
      <c r="M6"/>
      <c r="N6"/>
      <c r="O6"/>
      <c r="P6"/>
      <c r="Q6"/>
      <c r="R6"/>
      <c r="S6"/>
      <c r="T6"/>
      <c r="U6"/>
    </row>
    <row r="7" spans="1:21" ht="15.75" thickBot="1" x14ac:dyDescent="0.3">
      <c r="A7" s="9">
        <f>INDEX('Point Grid'!$C$8:$I$54,MATCH($A$1,'Point Grid'!$A$8:$A$54,0),MATCH(A6,'Point Grid'!$C$7:$I$7,0))</f>
        <v>0.5</v>
      </c>
      <c r="B7" s="17" t="s">
        <v>72</v>
      </c>
      <c r="C7" s="17"/>
      <c r="D7" s="17"/>
      <c r="E7" s="17"/>
      <c r="F7" s="17"/>
      <c r="G7" s="17"/>
      <c r="H7" s="17"/>
      <c r="I7" s="18"/>
      <c r="J7" s="31"/>
      <c r="K7"/>
      <c r="L7"/>
      <c r="M7"/>
      <c r="N7"/>
      <c r="O7"/>
      <c r="P7"/>
      <c r="Q7"/>
      <c r="R7"/>
      <c r="S7"/>
      <c r="T7"/>
      <c r="U7"/>
    </row>
    <row r="8" spans="1:21" ht="15.75" thickBot="1" x14ac:dyDescent="0.3">
      <c r="A8" s="5"/>
      <c r="B8" s="17"/>
      <c r="C8" s="28"/>
      <c r="D8" s="28"/>
      <c r="E8" s="28"/>
      <c r="F8" s="28"/>
      <c r="G8" s="28"/>
      <c r="H8" s="28"/>
      <c r="I8" s="18"/>
      <c r="J8" s="31"/>
      <c r="K8"/>
      <c r="L8"/>
      <c r="M8"/>
      <c r="N8"/>
      <c r="O8"/>
      <c r="P8"/>
      <c r="Q8"/>
      <c r="R8"/>
      <c r="S8"/>
      <c r="T8"/>
      <c r="U8"/>
    </row>
    <row r="9" spans="1:21" x14ac:dyDescent="0.25">
      <c r="A9" s="25"/>
      <c r="B9" s="17"/>
      <c r="C9" s="17"/>
      <c r="D9" s="17"/>
      <c r="E9" s="17"/>
      <c r="F9" s="17"/>
      <c r="G9" s="17"/>
      <c r="H9" s="17"/>
      <c r="I9" s="18"/>
      <c r="J9" s="31"/>
      <c r="K9"/>
      <c r="L9"/>
      <c r="M9"/>
      <c r="N9"/>
      <c r="O9"/>
      <c r="P9"/>
      <c r="Q9"/>
      <c r="R9"/>
      <c r="S9"/>
      <c r="T9"/>
      <c r="U9"/>
    </row>
    <row r="10" spans="1:21" x14ac:dyDescent="0.25">
      <c r="A10" s="25" t="s">
        <v>3</v>
      </c>
      <c r="B10" s="17" t="s">
        <v>83</v>
      </c>
      <c r="C10" s="17"/>
      <c r="D10" s="17"/>
      <c r="E10" s="17"/>
      <c r="F10" s="17"/>
      <c r="G10" s="17"/>
      <c r="H10" s="17"/>
      <c r="I10" s="18"/>
      <c r="J10" s="31"/>
      <c r="K10"/>
      <c r="L10"/>
      <c r="M10"/>
      <c r="N10"/>
      <c r="O10"/>
      <c r="P10"/>
      <c r="Q10"/>
      <c r="R10"/>
      <c r="S10"/>
      <c r="T10"/>
      <c r="U10"/>
    </row>
    <row r="11" spans="1:21" ht="15.75" thickBot="1" x14ac:dyDescent="0.3">
      <c r="A11" s="9">
        <f>INDEX('Point Grid'!$C$8:$I$54,MATCH($A$1,'Point Grid'!$A$8:$A$54,0),MATCH(A10,'Point Grid'!$C$7:$I$7,0))</f>
        <v>2</v>
      </c>
      <c r="B11" s="17"/>
      <c r="C11" s="17"/>
      <c r="D11" s="17"/>
      <c r="E11" s="17"/>
      <c r="F11" s="17"/>
      <c r="G11" s="17"/>
      <c r="H11" s="17"/>
      <c r="I11" s="18"/>
      <c r="J11" s="31"/>
      <c r="K11"/>
      <c r="L11"/>
      <c r="M11"/>
      <c r="N11"/>
      <c r="O11"/>
      <c r="P11"/>
      <c r="Q11"/>
      <c r="R11"/>
      <c r="S11"/>
      <c r="T11"/>
      <c r="U11"/>
    </row>
    <row r="12" spans="1:21" ht="15.75" thickBot="1" x14ac:dyDescent="0.3">
      <c r="A12" s="5"/>
      <c r="B12" s="17"/>
      <c r="C12" s="89" t="s">
        <v>84</v>
      </c>
      <c r="D12" s="89"/>
      <c r="E12" s="90">
        <f>250</f>
        <v>250</v>
      </c>
      <c r="F12" s="89"/>
      <c r="G12" s="28"/>
      <c r="H12" s="28"/>
      <c r="I12" s="18"/>
      <c r="J12" s="31"/>
      <c r="K12"/>
      <c r="L12"/>
      <c r="M12"/>
      <c r="N12"/>
      <c r="O12"/>
      <c r="P12"/>
      <c r="Q12"/>
      <c r="R12"/>
      <c r="S12"/>
      <c r="T12"/>
      <c r="U12"/>
    </row>
    <row r="13" spans="1:21" x14ac:dyDescent="0.25">
      <c r="A13" s="25"/>
      <c r="B13" s="17"/>
      <c r="C13" s="89"/>
      <c r="D13" s="89"/>
      <c r="E13" s="89"/>
      <c r="F13" s="89"/>
      <c r="G13" s="28"/>
      <c r="H13" s="28"/>
      <c r="I13" s="18"/>
      <c r="J13" s="31"/>
      <c r="K13"/>
      <c r="L13"/>
      <c r="M13"/>
      <c r="N13"/>
      <c r="O13"/>
      <c r="P13"/>
      <c r="Q13"/>
      <c r="R13"/>
      <c r="S13"/>
      <c r="T13"/>
      <c r="U13"/>
    </row>
    <row r="14" spans="1:21" x14ac:dyDescent="0.25">
      <c r="A14" s="25"/>
      <c r="B14" s="17"/>
      <c r="C14" s="86"/>
      <c r="D14" s="78" t="s">
        <v>77</v>
      </c>
      <c r="E14" s="78" t="s">
        <v>79</v>
      </c>
      <c r="F14" s="79" t="s">
        <v>81</v>
      </c>
      <c r="G14" s="28"/>
      <c r="H14" s="28"/>
      <c r="I14" s="18"/>
      <c r="J14" s="31"/>
      <c r="K14"/>
      <c r="L14"/>
      <c r="M14"/>
      <c r="N14"/>
      <c r="O14"/>
      <c r="P14"/>
      <c r="Q14"/>
      <c r="R14"/>
      <c r="S14"/>
      <c r="T14"/>
      <c r="U14"/>
    </row>
    <row r="15" spans="1:21" x14ac:dyDescent="0.25">
      <c r="A15" s="25"/>
      <c r="B15" s="17"/>
      <c r="C15" s="87" t="s">
        <v>73</v>
      </c>
      <c r="D15" s="84" t="s">
        <v>78</v>
      </c>
      <c r="E15" s="84" t="s">
        <v>80</v>
      </c>
      <c r="F15" s="85" t="s">
        <v>82</v>
      </c>
      <c r="G15" s="28"/>
      <c r="H15" s="28"/>
      <c r="I15" s="18"/>
      <c r="J15" s="31"/>
      <c r="K15"/>
      <c r="L15"/>
      <c r="M15"/>
      <c r="N15"/>
      <c r="O15"/>
      <c r="P15"/>
      <c r="Q15"/>
      <c r="R15"/>
      <c r="S15"/>
      <c r="T15"/>
      <c r="U15"/>
    </row>
    <row r="16" spans="1:21" x14ac:dyDescent="0.25">
      <c r="A16" s="25"/>
      <c r="B16" s="17"/>
      <c r="C16" s="88">
        <v>2022</v>
      </c>
      <c r="D16" s="80">
        <v>19000</v>
      </c>
      <c r="E16" s="80">
        <v>5</v>
      </c>
      <c r="F16" s="81">
        <v>3255</v>
      </c>
      <c r="G16" s="28"/>
      <c r="H16" s="28"/>
      <c r="I16" s="18"/>
      <c r="J16" s="31"/>
      <c r="K16"/>
      <c r="L16"/>
      <c r="M16"/>
      <c r="N16"/>
      <c r="O16"/>
      <c r="P16"/>
      <c r="Q16"/>
      <c r="R16"/>
      <c r="S16"/>
      <c r="T16"/>
      <c r="U16"/>
    </row>
    <row r="17" spans="1:21" x14ac:dyDescent="0.25">
      <c r="A17" s="25"/>
      <c r="B17" s="17"/>
      <c r="C17" s="88">
        <v>2023</v>
      </c>
      <c r="D17" s="80">
        <v>26400</v>
      </c>
      <c r="E17" s="80">
        <v>0</v>
      </c>
      <c r="F17" s="81">
        <v>0</v>
      </c>
      <c r="G17" s="28"/>
      <c r="H17" s="28"/>
      <c r="I17" s="18"/>
      <c r="J17" s="31"/>
      <c r="K17"/>
      <c r="L17"/>
      <c r="M17"/>
      <c r="N17"/>
      <c r="O17"/>
      <c r="P17"/>
      <c r="Q17"/>
      <c r="R17"/>
      <c r="S17"/>
      <c r="T17"/>
      <c r="U17"/>
    </row>
    <row r="18" spans="1:21" ht="15" customHeight="1" x14ac:dyDescent="0.25">
      <c r="A18" s="25"/>
      <c r="B18" s="17"/>
      <c r="C18" s="88">
        <v>2024</v>
      </c>
      <c r="D18" s="80">
        <v>22880</v>
      </c>
      <c r="E18" s="80">
        <v>1</v>
      </c>
      <c r="F18" s="81">
        <v>1151</v>
      </c>
      <c r="G18" s="28"/>
      <c r="H18" s="28"/>
      <c r="I18" s="18"/>
      <c r="J18" s="31"/>
      <c r="K18"/>
      <c r="L18"/>
      <c r="M18"/>
      <c r="N18"/>
      <c r="O18"/>
      <c r="P18"/>
      <c r="Q18"/>
      <c r="R18"/>
      <c r="S18"/>
      <c r="T18"/>
      <c r="U18"/>
    </row>
    <row r="19" spans="1:21" ht="15" customHeight="1" x14ac:dyDescent="0.25">
      <c r="A19" s="25"/>
      <c r="B19" s="17"/>
      <c r="C19" s="87">
        <v>2025</v>
      </c>
      <c r="D19" s="82">
        <v>21964</v>
      </c>
      <c r="E19" s="82">
        <v>22</v>
      </c>
      <c r="F19" s="83">
        <v>8095</v>
      </c>
      <c r="G19" s="28"/>
      <c r="H19" s="28"/>
      <c r="I19" s="18"/>
      <c r="J19" s="31"/>
      <c r="K19"/>
      <c r="L19"/>
      <c r="M19"/>
      <c r="N19"/>
      <c r="O19"/>
      <c r="P19"/>
      <c r="Q19"/>
      <c r="R19"/>
      <c r="S19"/>
      <c r="T19"/>
      <c r="U19"/>
    </row>
    <row r="20" spans="1:21" ht="15" customHeight="1" x14ac:dyDescent="0.25">
      <c r="A20" s="25"/>
      <c r="B20" s="17"/>
      <c r="C20" s="87" t="s">
        <v>76</v>
      </c>
      <c r="D20" s="82">
        <v>90244</v>
      </c>
      <c r="E20" s="82">
        <v>28</v>
      </c>
      <c r="F20" s="83">
        <v>12501</v>
      </c>
      <c r="G20" s="28"/>
      <c r="H20" s="28"/>
      <c r="I20" s="18"/>
      <c r="J20" s="31"/>
      <c r="K20"/>
      <c r="L20"/>
      <c r="M20"/>
      <c r="N20"/>
      <c r="O20"/>
      <c r="P20"/>
      <c r="Q20"/>
      <c r="R20"/>
      <c r="S20"/>
      <c r="T20"/>
      <c r="U20"/>
    </row>
    <row r="21" spans="1:21" ht="15" customHeight="1" x14ac:dyDescent="0.25">
      <c r="A21" s="25"/>
      <c r="B21" s="17"/>
      <c r="C21" s="89"/>
      <c r="D21" s="89"/>
      <c r="E21" s="89"/>
      <c r="F21" s="89"/>
      <c r="G21" s="28"/>
      <c r="H21" s="28"/>
      <c r="I21" s="18"/>
      <c r="J21" s="31"/>
      <c r="K21"/>
      <c r="L21"/>
      <c r="M21"/>
      <c r="N21"/>
      <c r="O21"/>
      <c r="P21"/>
      <c r="Q21"/>
      <c r="R21"/>
      <c r="S21"/>
      <c r="T21"/>
      <c r="U21"/>
    </row>
    <row r="22" spans="1:21" ht="15" customHeight="1" x14ac:dyDescent="0.25">
      <c r="A22" s="25"/>
      <c r="B22" s="17"/>
      <c r="C22" s="28"/>
      <c r="D22" s="28"/>
      <c r="E22" s="28"/>
      <c r="F22" s="28"/>
      <c r="G22" s="28"/>
      <c r="H22" s="28"/>
      <c r="I22" s="18"/>
      <c r="J22" s="31"/>
      <c r="K22"/>
      <c r="L22"/>
      <c r="M22"/>
      <c r="N22"/>
      <c r="O22"/>
      <c r="P22"/>
      <c r="Q22"/>
      <c r="R22"/>
      <c r="S22"/>
      <c r="T22"/>
      <c r="U22"/>
    </row>
    <row r="23" spans="1:21" ht="15" customHeight="1" x14ac:dyDescent="0.25">
      <c r="A23" s="25"/>
      <c r="B23" s="17"/>
      <c r="C23" s="28"/>
      <c r="D23" s="28"/>
      <c r="E23" s="28"/>
      <c r="F23" s="28"/>
      <c r="G23" s="28"/>
      <c r="H23" s="28"/>
      <c r="I23" s="18"/>
      <c r="J23" s="31"/>
      <c r="K23"/>
      <c r="L23"/>
      <c r="M23"/>
      <c r="N23"/>
      <c r="O23"/>
      <c r="P23"/>
      <c r="Q23"/>
      <c r="R23"/>
      <c r="S23"/>
      <c r="T23"/>
      <c r="U23"/>
    </row>
    <row r="24" spans="1:21" ht="15" customHeight="1" x14ac:dyDescent="0.25">
      <c r="A24" s="25"/>
      <c r="B24" s="17"/>
      <c r="C24" s="28"/>
      <c r="D24" s="28"/>
      <c r="E24" s="28"/>
      <c r="F24" s="28"/>
      <c r="G24" s="28"/>
      <c r="H24" s="28"/>
      <c r="I24" s="18"/>
      <c r="J24" s="31"/>
      <c r="K24"/>
      <c r="L24"/>
      <c r="M24"/>
      <c r="N24"/>
      <c r="O24"/>
      <c r="P24"/>
      <c r="Q24"/>
      <c r="R24"/>
      <c r="S24"/>
      <c r="T24"/>
      <c r="U24"/>
    </row>
    <row r="25" spans="1:21" ht="15" customHeight="1" x14ac:dyDescent="0.25">
      <c r="A25" s="25"/>
      <c r="B25" s="17"/>
      <c r="C25" s="28"/>
      <c r="D25" s="28"/>
      <c r="E25" s="28"/>
      <c r="F25" s="28"/>
      <c r="G25" s="28"/>
      <c r="H25" s="28"/>
      <c r="I25" s="18"/>
      <c r="J25" s="31"/>
      <c r="K25"/>
      <c r="L25"/>
      <c r="M25"/>
      <c r="N25"/>
      <c r="O25"/>
      <c r="P25"/>
      <c r="Q25"/>
      <c r="R25"/>
      <c r="S25"/>
      <c r="T25"/>
      <c r="U25"/>
    </row>
    <row r="26" spans="1:21" ht="15" customHeight="1" x14ac:dyDescent="0.25">
      <c r="A26" s="25"/>
      <c r="B26" s="17"/>
      <c r="C26" s="28"/>
      <c r="D26" s="28"/>
      <c r="E26" s="28"/>
      <c r="F26" s="28"/>
      <c r="G26" s="28"/>
      <c r="H26" s="28"/>
      <c r="I26" s="18"/>
      <c r="J26" s="31"/>
      <c r="K26"/>
      <c r="L26"/>
      <c r="M26"/>
      <c r="N26"/>
      <c r="O26"/>
      <c r="P26"/>
      <c r="Q26"/>
      <c r="R26"/>
      <c r="S26"/>
      <c r="T26"/>
      <c r="U26"/>
    </row>
    <row r="27" spans="1:21" ht="15" customHeight="1" x14ac:dyDescent="0.25">
      <c r="A27" s="25"/>
      <c r="B27" s="17"/>
      <c r="C27" s="28"/>
      <c r="D27" s="28"/>
      <c r="E27" s="28"/>
      <c r="F27" s="28"/>
      <c r="G27" s="28"/>
      <c r="H27" s="28"/>
      <c r="I27" s="18"/>
      <c r="J27" s="31"/>
      <c r="K27"/>
      <c r="L27"/>
      <c r="M27"/>
      <c r="N27"/>
      <c r="O27"/>
      <c r="P27"/>
      <c r="Q27"/>
      <c r="R27"/>
      <c r="S27"/>
      <c r="T27"/>
      <c r="U27"/>
    </row>
    <row r="28" spans="1:21" ht="15" customHeight="1" x14ac:dyDescent="0.25">
      <c r="A28" s="25"/>
      <c r="B28" s="17"/>
      <c r="C28" s="28"/>
      <c r="D28" s="28"/>
      <c r="E28" s="28"/>
      <c r="F28" s="28"/>
      <c r="G28" s="28"/>
      <c r="H28" s="28"/>
      <c r="I28" s="18"/>
      <c r="J28" s="31"/>
      <c r="K28"/>
      <c r="L28"/>
      <c r="M28"/>
      <c r="N28"/>
      <c r="O28"/>
      <c r="P28"/>
      <c r="Q28"/>
      <c r="R28"/>
      <c r="S28"/>
      <c r="T28"/>
      <c r="U28"/>
    </row>
    <row r="29" spans="1:21" ht="15" customHeight="1" x14ac:dyDescent="0.25">
      <c r="A29" s="22"/>
      <c r="B29" s="17"/>
      <c r="C29" s="17"/>
      <c r="D29" s="17"/>
      <c r="E29" s="17"/>
      <c r="F29" s="17"/>
      <c r="G29" s="17"/>
      <c r="H29" s="17"/>
      <c r="I29" s="18"/>
      <c r="J29" s="31"/>
      <c r="K29"/>
      <c r="L29"/>
      <c r="M29"/>
      <c r="N29"/>
      <c r="O29"/>
      <c r="P29"/>
      <c r="Q29"/>
      <c r="R29"/>
      <c r="S29"/>
      <c r="T29"/>
      <c r="U29"/>
    </row>
    <row r="30" spans="1:21" ht="15" customHeight="1" thickBot="1" x14ac:dyDescent="0.3">
      <c r="A30" s="24"/>
      <c r="B30" s="32"/>
      <c r="C30" s="32"/>
      <c r="D30" s="32"/>
      <c r="E30" s="32"/>
      <c r="F30" s="32"/>
      <c r="G30" s="32"/>
      <c r="H30" s="32"/>
      <c r="I30" s="33"/>
      <c r="J30" s="31"/>
      <c r="K30"/>
      <c r="L30"/>
      <c r="M30"/>
      <c r="N30"/>
      <c r="O30"/>
      <c r="P30"/>
      <c r="Q30"/>
      <c r="R30"/>
      <c r="S30"/>
      <c r="T30"/>
      <c r="U30"/>
    </row>
    <row r="31" spans="1:21" ht="15" customHeight="1" x14ac:dyDescent="0.25">
      <c r="B31" s="31"/>
      <c r="C31" s="31"/>
      <c r="D31" s="31"/>
      <c r="E31" s="31"/>
      <c r="F31" s="31"/>
      <c r="G31" s="31"/>
      <c r="H31" s="31"/>
      <c r="I31" s="31"/>
      <c r="J31" s="31"/>
      <c r="K31"/>
      <c r="L31"/>
      <c r="M31"/>
      <c r="N31"/>
      <c r="O31"/>
      <c r="P31"/>
      <c r="Q31"/>
      <c r="R31"/>
      <c r="S31"/>
      <c r="T31"/>
      <c r="U31"/>
    </row>
    <row r="32" spans="1:21" ht="15" customHeight="1" x14ac:dyDescent="0.25">
      <c r="J32" s="31"/>
      <c r="K32"/>
      <c r="L32"/>
      <c r="M32"/>
      <c r="N32"/>
      <c r="O32"/>
      <c r="P32"/>
      <c r="Q32"/>
      <c r="R32"/>
      <c r="S32"/>
      <c r="T32"/>
      <c r="U32"/>
    </row>
    <row r="33" spans="2:21" ht="15" customHeight="1" x14ac:dyDescent="0.25">
      <c r="J33" s="31"/>
      <c r="K33"/>
      <c r="L33"/>
      <c r="M33"/>
      <c r="N33"/>
      <c r="O33"/>
      <c r="P33"/>
      <c r="Q33"/>
      <c r="R33"/>
      <c r="S33"/>
      <c r="T33"/>
      <c r="U33"/>
    </row>
    <row r="34" spans="2:21" ht="15" customHeight="1" x14ac:dyDescent="0.25">
      <c r="J34" s="31"/>
      <c r="K34"/>
      <c r="L34"/>
      <c r="M34"/>
      <c r="N34"/>
      <c r="O34"/>
      <c r="P34"/>
      <c r="Q34"/>
      <c r="R34"/>
      <c r="S34"/>
      <c r="T34"/>
      <c r="U34"/>
    </row>
    <row r="35" spans="2:21" ht="15" customHeight="1" x14ac:dyDescent="0.25">
      <c r="J35" s="31"/>
      <c r="K35"/>
      <c r="L35"/>
      <c r="M35"/>
      <c r="N35"/>
      <c r="O35"/>
      <c r="P35"/>
      <c r="Q35"/>
      <c r="R35"/>
      <c r="S35"/>
      <c r="T35"/>
      <c r="U35"/>
    </row>
    <row r="36" spans="2:21" ht="15" customHeight="1" x14ac:dyDescent="0.25">
      <c r="J36" s="31"/>
      <c r="K36"/>
      <c r="L36"/>
      <c r="M36"/>
      <c r="N36"/>
      <c r="O36"/>
      <c r="P36"/>
      <c r="Q36"/>
      <c r="R36"/>
      <c r="S36"/>
      <c r="T36"/>
      <c r="U36"/>
    </row>
    <row r="37" spans="2:21" ht="15" customHeight="1" x14ac:dyDescent="0.25">
      <c r="J37" s="31"/>
      <c r="K37"/>
      <c r="L37"/>
      <c r="M37"/>
      <c r="N37"/>
      <c r="O37"/>
      <c r="P37"/>
      <c r="Q37"/>
      <c r="R37"/>
      <c r="S37"/>
      <c r="T37"/>
      <c r="U37"/>
    </row>
    <row r="38" spans="2:21" ht="15" customHeight="1" x14ac:dyDescent="0.25">
      <c r="J38" s="31"/>
      <c r="K38"/>
      <c r="L38"/>
      <c r="M38"/>
      <c r="N38"/>
      <c r="O38"/>
      <c r="P38"/>
      <c r="Q38"/>
      <c r="R38"/>
      <c r="S38"/>
      <c r="T38"/>
      <c r="U38"/>
    </row>
    <row r="39" spans="2:21" ht="15" customHeight="1" x14ac:dyDescent="0.25">
      <c r="J39" s="31"/>
      <c r="K39"/>
      <c r="L39"/>
      <c r="M39"/>
      <c r="N39"/>
      <c r="O39"/>
      <c r="P39"/>
      <c r="Q39"/>
      <c r="R39"/>
      <c r="S39"/>
      <c r="T39"/>
      <c r="U39"/>
    </row>
    <row r="40" spans="2:21" ht="15" customHeight="1" x14ac:dyDescent="0.25">
      <c r="J40" s="31"/>
      <c r="K40"/>
      <c r="L40"/>
      <c r="M40"/>
      <c r="N40"/>
      <c r="O40"/>
      <c r="P40"/>
      <c r="Q40"/>
      <c r="R40"/>
      <c r="S40"/>
      <c r="T40"/>
      <c r="U40"/>
    </row>
    <row r="41" spans="2:21" ht="15" customHeight="1" x14ac:dyDescent="0.25">
      <c r="J41" s="31"/>
      <c r="K41"/>
      <c r="L41"/>
      <c r="M41"/>
      <c r="N41"/>
      <c r="O41"/>
      <c r="P41"/>
      <c r="Q41"/>
      <c r="R41"/>
      <c r="S41"/>
      <c r="T41"/>
      <c r="U41"/>
    </row>
    <row r="42" spans="2:21" ht="15" customHeight="1" x14ac:dyDescent="0.25">
      <c r="J42" s="31"/>
      <c r="K42"/>
      <c r="L42"/>
      <c r="M42"/>
      <c r="N42"/>
      <c r="O42"/>
      <c r="P42"/>
      <c r="Q42"/>
      <c r="R42"/>
      <c r="S42"/>
      <c r="T42"/>
      <c r="U42"/>
    </row>
    <row r="43" spans="2:21" ht="15" customHeight="1" x14ac:dyDescent="0.25">
      <c r="J43" s="31"/>
      <c r="K43"/>
      <c r="L43"/>
      <c r="M43"/>
      <c r="N43"/>
      <c r="O43"/>
      <c r="P43"/>
      <c r="Q43"/>
      <c r="R43"/>
      <c r="S43"/>
      <c r="T43"/>
      <c r="U43"/>
    </row>
    <row r="44" spans="2:21" ht="15" customHeight="1" x14ac:dyDescent="0.25">
      <c r="J44" s="31"/>
      <c r="K44"/>
      <c r="L44"/>
      <c r="M44"/>
      <c r="N44"/>
      <c r="O44"/>
      <c r="P44"/>
      <c r="Q44"/>
      <c r="R44"/>
      <c r="S44"/>
      <c r="T44"/>
      <c r="U44"/>
    </row>
    <row r="45" spans="2:21" ht="15" customHeight="1" x14ac:dyDescent="0.25">
      <c r="J45" s="31"/>
      <c r="K45"/>
      <c r="L45"/>
      <c r="M45"/>
      <c r="N45"/>
      <c r="O45"/>
      <c r="P45"/>
      <c r="Q45"/>
      <c r="R45"/>
      <c r="S45"/>
      <c r="T45"/>
      <c r="U45"/>
    </row>
    <row r="46" spans="2:21" ht="15" customHeight="1" x14ac:dyDescent="0.25">
      <c r="B46" s="31"/>
      <c r="C46" s="31"/>
      <c r="D46" s="31"/>
      <c r="E46" s="31"/>
      <c r="F46" s="31"/>
      <c r="G46" s="31"/>
      <c r="H46" s="31"/>
      <c r="I46" s="31"/>
      <c r="J46" s="31"/>
      <c r="K46"/>
      <c r="L46"/>
      <c r="M46"/>
      <c r="N46"/>
      <c r="O46"/>
      <c r="P46"/>
      <c r="Q46"/>
      <c r="R46"/>
      <c r="S46"/>
      <c r="T46"/>
      <c r="U46"/>
    </row>
    <row r="47" spans="2:21" ht="15" customHeight="1" x14ac:dyDescent="0.25">
      <c r="B47" s="31"/>
      <c r="C47" s="31"/>
      <c r="D47" s="31"/>
      <c r="E47" s="31"/>
      <c r="F47" s="31"/>
      <c r="G47" s="31"/>
      <c r="H47" s="31"/>
      <c r="I47" s="31"/>
      <c r="J47" s="31"/>
      <c r="K47"/>
      <c r="L47"/>
      <c r="M47"/>
      <c r="N47"/>
      <c r="O47"/>
      <c r="P47"/>
      <c r="Q47"/>
      <c r="R47"/>
      <c r="S47"/>
      <c r="T47"/>
      <c r="U47"/>
    </row>
    <row r="48" spans="2:21" ht="15" customHeight="1" x14ac:dyDescent="0.25">
      <c r="B48" s="31"/>
      <c r="C48" s="31"/>
      <c r="D48" s="31"/>
      <c r="E48" s="31"/>
      <c r="F48" s="31"/>
      <c r="G48" s="31"/>
      <c r="H48" s="31"/>
      <c r="I48" s="31"/>
      <c r="J48" s="31"/>
      <c r="K48"/>
      <c r="L48"/>
      <c r="M48"/>
      <c r="N48"/>
      <c r="O48"/>
      <c r="P48"/>
      <c r="Q48"/>
      <c r="R48"/>
      <c r="S48"/>
      <c r="T48"/>
      <c r="U48"/>
    </row>
    <row r="49" spans="2:21" ht="15" customHeight="1" x14ac:dyDescent="0.25">
      <c r="B49" s="31"/>
      <c r="C49" s="31"/>
      <c r="D49" s="31"/>
      <c r="E49" s="31"/>
      <c r="F49" s="31"/>
      <c r="G49" s="31"/>
      <c r="H49" s="31"/>
      <c r="I49" s="31"/>
      <c r="J49" s="31"/>
      <c r="K49"/>
      <c r="L49"/>
      <c r="M49"/>
      <c r="N49"/>
      <c r="O49"/>
      <c r="P49"/>
      <c r="Q49"/>
      <c r="R49"/>
      <c r="S49"/>
      <c r="T49"/>
      <c r="U49"/>
    </row>
    <row r="50" spans="2:21" ht="15" customHeight="1" x14ac:dyDescent="0.25">
      <c r="B50" s="31"/>
      <c r="C50" s="31"/>
      <c r="D50" s="31"/>
      <c r="E50" s="31"/>
      <c r="F50" s="31"/>
      <c r="G50" s="31"/>
      <c r="H50" s="31"/>
      <c r="I50" s="31"/>
      <c r="J50" s="31"/>
      <c r="K50"/>
      <c r="L50"/>
      <c r="M50"/>
      <c r="N50"/>
      <c r="O50"/>
      <c r="P50"/>
      <c r="Q50"/>
      <c r="R50"/>
      <c r="S50"/>
      <c r="T50"/>
      <c r="U50"/>
    </row>
    <row r="51" spans="2:21" ht="15" customHeight="1" x14ac:dyDescent="0.25">
      <c r="B51" s="31"/>
      <c r="C51" s="31"/>
      <c r="D51" s="31"/>
      <c r="E51" s="31"/>
      <c r="F51" s="31"/>
      <c r="G51" s="31"/>
      <c r="H51" s="31"/>
      <c r="I51" s="31"/>
      <c r="J51" s="31"/>
      <c r="K51"/>
      <c r="L51"/>
      <c r="M51"/>
      <c r="N51"/>
      <c r="O51"/>
      <c r="P51"/>
      <c r="Q51"/>
      <c r="R51"/>
      <c r="S51"/>
      <c r="T51"/>
      <c r="U51"/>
    </row>
    <row r="52" spans="2:21" ht="15" customHeight="1" x14ac:dyDescent="0.25">
      <c r="B52" s="31"/>
      <c r="C52" s="31"/>
      <c r="D52" s="31"/>
      <c r="E52" s="31"/>
      <c r="F52" s="31"/>
      <c r="G52" s="31"/>
      <c r="H52" s="31"/>
      <c r="I52" s="31"/>
      <c r="J52" s="31"/>
      <c r="K52"/>
      <c r="L52"/>
      <c r="M52"/>
      <c r="N52"/>
      <c r="O52"/>
      <c r="P52"/>
      <c r="Q52"/>
      <c r="R52"/>
      <c r="S52"/>
      <c r="T52"/>
      <c r="U52"/>
    </row>
    <row r="53" spans="2:21" ht="15" customHeight="1" x14ac:dyDescent="0.25">
      <c r="B53" s="31"/>
      <c r="C53" s="31"/>
      <c r="D53" s="31"/>
      <c r="E53" s="31"/>
      <c r="F53" s="31"/>
      <c r="G53" s="31"/>
      <c r="H53" s="31"/>
      <c r="I53" s="31"/>
      <c r="J53" s="31"/>
      <c r="K53"/>
      <c r="L53"/>
      <c r="M53"/>
      <c r="N53"/>
      <c r="O53"/>
      <c r="P53"/>
      <c r="Q53"/>
      <c r="R53"/>
      <c r="S53"/>
      <c r="T53"/>
      <c r="U53"/>
    </row>
    <row r="54" spans="2:21" ht="15" customHeight="1" x14ac:dyDescent="0.25">
      <c r="B54" s="31"/>
      <c r="C54" s="31"/>
      <c r="D54" s="31"/>
      <c r="E54" s="31"/>
      <c r="F54" s="31"/>
      <c r="G54" s="31"/>
      <c r="H54" s="31"/>
      <c r="I54" s="31"/>
      <c r="J54" s="31"/>
      <c r="K54"/>
      <c r="L54"/>
      <c r="M54"/>
      <c r="N54"/>
      <c r="O54"/>
      <c r="P54"/>
      <c r="Q54"/>
      <c r="R54"/>
      <c r="S54"/>
      <c r="T54"/>
      <c r="U54"/>
    </row>
    <row r="55" spans="2:21" ht="15" customHeight="1" x14ac:dyDescent="0.25">
      <c r="B55" s="31"/>
      <c r="C55" s="31"/>
      <c r="D55" s="31"/>
      <c r="E55" s="31"/>
      <c r="F55" s="31"/>
      <c r="G55" s="31"/>
      <c r="H55" s="31"/>
      <c r="I55" s="31"/>
      <c r="J55" s="31"/>
      <c r="K55"/>
      <c r="L55"/>
      <c r="M55"/>
      <c r="N55"/>
      <c r="O55"/>
      <c r="P55"/>
      <c r="Q55"/>
      <c r="R55"/>
      <c r="S55"/>
      <c r="T55"/>
      <c r="U55"/>
    </row>
    <row r="56" spans="2:21" ht="15" customHeight="1" x14ac:dyDescent="0.25">
      <c r="B56" s="31"/>
      <c r="C56" s="31"/>
      <c r="D56" s="31"/>
      <c r="E56" s="31"/>
      <c r="F56" s="31"/>
      <c r="G56" s="31"/>
      <c r="H56" s="31"/>
      <c r="I56" s="31"/>
      <c r="J56" s="31"/>
      <c r="K56"/>
      <c r="L56"/>
      <c r="M56"/>
      <c r="N56"/>
      <c r="O56"/>
      <c r="P56"/>
      <c r="Q56"/>
      <c r="R56"/>
      <c r="S56"/>
      <c r="T56"/>
      <c r="U56"/>
    </row>
    <row r="57" spans="2:21" ht="15" customHeight="1" x14ac:dyDescent="0.25">
      <c r="B57" s="31"/>
      <c r="C57" s="31"/>
      <c r="D57" s="31"/>
      <c r="E57" s="31"/>
      <c r="F57" s="31"/>
      <c r="G57" s="31"/>
      <c r="H57" s="31"/>
      <c r="I57" s="31"/>
      <c r="J57" s="31"/>
      <c r="K57"/>
      <c r="L57"/>
      <c r="M57"/>
      <c r="N57"/>
      <c r="O57"/>
      <c r="P57"/>
      <c r="Q57"/>
      <c r="R57"/>
      <c r="S57"/>
      <c r="T57"/>
      <c r="U57"/>
    </row>
    <row r="58" spans="2:21" ht="15" customHeight="1" x14ac:dyDescent="0.25">
      <c r="B58" s="31"/>
      <c r="C58" s="31"/>
      <c r="D58" s="31"/>
      <c r="E58" s="31"/>
      <c r="F58" s="31"/>
      <c r="G58" s="31"/>
      <c r="H58" s="31"/>
      <c r="I58" s="31"/>
      <c r="J58" s="31"/>
      <c r="K58"/>
      <c r="L58"/>
      <c r="M58"/>
      <c r="N58"/>
      <c r="O58"/>
      <c r="P58"/>
      <c r="Q58"/>
      <c r="R58"/>
      <c r="S58"/>
      <c r="T58"/>
      <c r="U58"/>
    </row>
    <row r="59" spans="2:21" ht="15" customHeight="1" x14ac:dyDescent="0.25">
      <c r="B59" s="31"/>
      <c r="C59" s="31"/>
      <c r="D59" s="31"/>
      <c r="E59" s="31"/>
      <c r="F59" s="31"/>
      <c r="G59" s="31"/>
      <c r="H59" s="31"/>
      <c r="I59" s="31"/>
      <c r="J59" s="31"/>
      <c r="K59"/>
      <c r="L59"/>
      <c r="M59"/>
      <c r="N59"/>
      <c r="O59"/>
      <c r="P59"/>
      <c r="Q59"/>
      <c r="R59"/>
      <c r="S59"/>
      <c r="T59"/>
      <c r="U59"/>
    </row>
    <row r="60" spans="2:21" ht="15" customHeight="1" x14ac:dyDescent="0.25">
      <c r="B60" s="31"/>
      <c r="C60" s="31"/>
      <c r="D60" s="31"/>
      <c r="E60" s="31"/>
      <c r="F60" s="31"/>
      <c r="G60" s="31"/>
      <c r="H60" s="31"/>
      <c r="I60" s="31"/>
      <c r="J60" s="31"/>
      <c r="K60"/>
      <c r="L60"/>
      <c r="M60"/>
      <c r="N60"/>
      <c r="O60"/>
      <c r="P60"/>
      <c r="Q60"/>
      <c r="R60"/>
      <c r="S60"/>
      <c r="T60"/>
      <c r="U60"/>
    </row>
    <row r="61" spans="2:21" ht="15" customHeight="1" x14ac:dyDescent="0.25">
      <c r="B61" s="31"/>
      <c r="C61" s="31"/>
      <c r="D61" s="31"/>
      <c r="E61" s="31"/>
      <c r="F61" s="31"/>
      <c r="G61" s="31"/>
      <c r="H61" s="31"/>
      <c r="I61" s="31"/>
      <c r="J61" s="31"/>
      <c r="K61"/>
      <c r="L61"/>
      <c r="M61"/>
      <c r="N61"/>
      <c r="O61"/>
      <c r="P61"/>
      <c r="Q61"/>
      <c r="R61"/>
      <c r="S61"/>
      <c r="T61"/>
      <c r="U61"/>
    </row>
    <row r="62" spans="2:21" ht="15" customHeight="1" x14ac:dyDescent="0.25">
      <c r="B62" s="31"/>
      <c r="C62" s="31"/>
      <c r="D62" s="31"/>
      <c r="E62" s="31"/>
      <c r="F62" s="31"/>
      <c r="G62" s="31"/>
      <c r="H62" s="31"/>
      <c r="I62" s="31"/>
      <c r="J62" s="31"/>
      <c r="K62"/>
      <c r="L62"/>
      <c r="M62"/>
      <c r="N62"/>
      <c r="O62"/>
      <c r="P62"/>
      <c r="Q62"/>
      <c r="R62"/>
      <c r="S62"/>
      <c r="T62"/>
      <c r="U62"/>
    </row>
    <row r="63" spans="2:21" ht="15" customHeight="1" x14ac:dyDescent="0.25">
      <c r="B63" s="31"/>
      <c r="C63" s="31"/>
      <c r="D63" s="31"/>
      <c r="E63" s="31"/>
      <c r="F63" s="31"/>
      <c r="G63" s="31"/>
      <c r="H63" s="31"/>
      <c r="I63" s="31"/>
      <c r="J63" s="31"/>
      <c r="K63"/>
      <c r="L63"/>
      <c r="M63"/>
      <c r="N63"/>
      <c r="O63"/>
      <c r="P63"/>
      <c r="Q63"/>
      <c r="R63"/>
      <c r="S63"/>
      <c r="T63"/>
      <c r="U63"/>
    </row>
    <row r="64" spans="2:21" ht="15" customHeight="1" x14ac:dyDescent="0.25">
      <c r="B64" s="31"/>
      <c r="C64" s="31"/>
      <c r="D64" s="31"/>
      <c r="E64" s="31"/>
      <c r="F64" s="31"/>
      <c r="G64" s="31"/>
      <c r="H64" s="31"/>
      <c r="I64" s="31"/>
      <c r="J64" s="31"/>
      <c r="K64"/>
      <c r="L64"/>
      <c r="M64"/>
      <c r="N64"/>
      <c r="O64"/>
      <c r="P64"/>
      <c r="Q64"/>
      <c r="R64"/>
      <c r="S64"/>
      <c r="T64"/>
      <c r="U64"/>
    </row>
    <row r="65" spans="2:21" ht="15" customHeight="1" x14ac:dyDescent="0.25">
      <c r="B65" s="31"/>
      <c r="C65" s="31"/>
      <c r="D65" s="31"/>
      <c r="E65" s="31"/>
      <c r="F65" s="31"/>
      <c r="G65" s="31"/>
      <c r="H65" s="31"/>
      <c r="I65" s="31"/>
      <c r="J65" s="31"/>
      <c r="K65"/>
      <c r="L65"/>
      <c r="M65"/>
      <c r="N65"/>
      <c r="O65"/>
      <c r="P65"/>
      <c r="Q65"/>
      <c r="R65"/>
      <c r="S65"/>
      <c r="T65"/>
      <c r="U65"/>
    </row>
    <row r="66" spans="2:21" ht="15" customHeight="1" x14ac:dyDescent="0.25">
      <c r="B66" s="31"/>
      <c r="C66" s="31"/>
      <c r="D66" s="31"/>
      <c r="E66" s="31"/>
      <c r="F66" s="31"/>
      <c r="G66" s="31"/>
      <c r="H66" s="31"/>
      <c r="I66" s="31"/>
      <c r="J66" s="31"/>
      <c r="K66"/>
      <c r="L66"/>
      <c r="M66"/>
      <c r="N66"/>
      <c r="O66"/>
      <c r="P66"/>
      <c r="Q66"/>
      <c r="R66"/>
      <c r="S66"/>
      <c r="T66"/>
      <c r="U66"/>
    </row>
    <row r="67" spans="2:21" ht="15" customHeight="1" x14ac:dyDescent="0.25">
      <c r="B67" s="31"/>
      <c r="C67" s="31"/>
      <c r="D67" s="31"/>
      <c r="E67" s="31"/>
      <c r="F67" s="31"/>
      <c r="G67" s="31"/>
      <c r="H67" s="31"/>
      <c r="I67" s="31"/>
      <c r="J67" s="31"/>
      <c r="K67"/>
      <c r="L67"/>
      <c r="M67"/>
      <c r="N67"/>
      <c r="O67"/>
      <c r="P67"/>
      <c r="Q67"/>
      <c r="R67"/>
      <c r="S67"/>
      <c r="T67"/>
      <c r="U67"/>
    </row>
    <row r="68" spans="2:21" ht="15" customHeight="1" x14ac:dyDescent="0.25">
      <c r="B68" s="31"/>
      <c r="C68" s="31"/>
      <c r="D68" s="31"/>
      <c r="E68" s="31"/>
      <c r="F68" s="31"/>
      <c r="G68" s="31"/>
      <c r="H68" s="31"/>
      <c r="I68" s="31"/>
      <c r="J68" s="31"/>
      <c r="K68"/>
      <c r="L68"/>
      <c r="M68"/>
      <c r="N68"/>
      <c r="O68"/>
      <c r="P68"/>
      <c r="Q68"/>
      <c r="R68"/>
      <c r="S68"/>
      <c r="T68"/>
      <c r="U68"/>
    </row>
    <row r="69" spans="2:21" ht="15" customHeight="1" x14ac:dyDescent="0.25">
      <c r="B69" s="31"/>
      <c r="C69" s="31"/>
      <c r="D69" s="31"/>
      <c r="E69" s="31"/>
      <c r="F69" s="31"/>
      <c r="G69" s="31"/>
      <c r="H69" s="31"/>
      <c r="I69" s="31"/>
      <c r="J69" s="31"/>
      <c r="K69"/>
      <c r="L69"/>
      <c r="M69"/>
      <c r="N69"/>
      <c r="O69"/>
      <c r="P69"/>
      <c r="Q69"/>
      <c r="R69"/>
      <c r="S69"/>
      <c r="T69"/>
      <c r="U69"/>
    </row>
    <row r="70" spans="2:21" ht="15" customHeight="1" x14ac:dyDescent="0.25">
      <c r="B70" s="31"/>
      <c r="C70" s="31"/>
      <c r="D70" s="31"/>
      <c r="E70" s="31"/>
      <c r="F70" s="31"/>
      <c r="G70" s="31"/>
      <c r="H70" s="31"/>
      <c r="I70" s="31"/>
      <c r="J70" s="31"/>
      <c r="K70"/>
      <c r="L70"/>
      <c r="M70"/>
      <c r="N70"/>
      <c r="O70"/>
      <c r="P70"/>
      <c r="Q70"/>
      <c r="R70"/>
      <c r="S70"/>
      <c r="T70"/>
      <c r="U70"/>
    </row>
    <row r="71" spans="2:21" ht="15" customHeight="1" x14ac:dyDescent="0.25">
      <c r="B71" s="31"/>
      <c r="C71" s="31"/>
      <c r="D71" s="31"/>
      <c r="E71" s="31"/>
      <c r="F71" s="31"/>
      <c r="G71" s="31"/>
      <c r="H71" s="31"/>
      <c r="I71" s="31"/>
      <c r="J71" s="31"/>
      <c r="K71"/>
      <c r="L71"/>
      <c r="M71"/>
      <c r="N71"/>
      <c r="O71"/>
      <c r="P71"/>
      <c r="Q71"/>
      <c r="R71"/>
      <c r="S71"/>
      <c r="T71"/>
      <c r="U71"/>
    </row>
    <row r="72" spans="2:21" ht="15" customHeight="1" x14ac:dyDescent="0.25">
      <c r="B72" s="31"/>
      <c r="C72" s="31"/>
      <c r="D72" s="31"/>
      <c r="E72" s="31"/>
      <c r="F72" s="31"/>
      <c r="G72" s="31"/>
      <c r="H72" s="31"/>
      <c r="I72" s="31"/>
      <c r="J72" s="31"/>
      <c r="K72"/>
      <c r="L72"/>
      <c r="M72"/>
      <c r="N72"/>
      <c r="O72"/>
      <c r="P72"/>
      <c r="Q72"/>
      <c r="R72"/>
      <c r="S72"/>
      <c r="T72"/>
      <c r="U72"/>
    </row>
    <row r="73" spans="2:21" ht="15" customHeight="1" x14ac:dyDescent="0.25">
      <c r="B73" s="31"/>
      <c r="C73" s="31"/>
      <c r="D73" s="31"/>
      <c r="E73" s="31"/>
      <c r="F73" s="31"/>
      <c r="G73" s="31"/>
      <c r="H73" s="31"/>
      <c r="I73" s="31"/>
      <c r="J73" s="31"/>
      <c r="K73"/>
      <c r="L73"/>
      <c r="M73"/>
      <c r="N73"/>
      <c r="O73"/>
      <c r="P73"/>
      <c r="Q73"/>
      <c r="R73"/>
      <c r="S73"/>
      <c r="T73"/>
      <c r="U73"/>
    </row>
    <row r="74" spans="2:21" ht="15" customHeight="1" x14ac:dyDescent="0.25">
      <c r="B74" s="31"/>
      <c r="C74" s="31"/>
      <c r="D74" s="31"/>
      <c r="E74" s="31"/>
      <c r="F74" s="31"/>
      <c r="G74" s="31"/>
      <c r="H74" s="31"/>
      <c r="I74" s="31"/>
      <c r="J74" s="31"/>
      <c r="K74"/>
      <c r="L74"/>
      <c r="M74"/>
      <c r="N74"/>
      <c r="O74"/>
      <c r="P74"/>
      <c r="Q74"/>
      <c r="R74"/>
      <c r="S74"/>
      <c r="T74"/>
      <c r="U74"/>
    </row>
    <row r="75" spans="2:21" ht="15" customHeight="1" x14ac:dyDescent="0.25">
      <c r="B75" s="31"/>
      <c r="C75" s="31"/>
      <c r="D75" s="31"/>
      <c r="E75" s="31"/>
      <c r="F75" s="31"/>
      <c r="G75" s="31"/>
      <c r="H75" s="31"/>
      <c r="I75" s="31"/>
      <c r="J75" s="31"/>
      <c r="K75"/>
      <c r="L75"/>
      <c r="M75"/>
      <c r="N75"/>
      <c r="O75"/>
      <c r="P75"/>
      <c r="Q75"/>
      <c r="R75"/>
      <c r="S75"/>
      <c r="T75"/>
      <c r="U75"/>
    </row>
    <row r="76" spans="2:21" ht="15" customHeight="1" x14ac:dyDescent="0.25">
      <c r="B76" s="31"/>
      <c r="C76" s="31"/>
      <c r="D76" s="31"/>
      <c r="E76" s="31"/>
      <c r="F76" s="31"/>
      <c r="G76" s="31"/>
      <c r="H76" s="31"/>
      <c r="I76" s="31"/>
      <c r="J76" s="31"/>
      <c r="K76"/>
      <c r="L76"/>
      <c r="M76"/>
      <c r="N76"/>
      <c r="O76"/>
      <c r="P76"/>
      <c r="Q76"/>
      <c r="R76"/>
      <c r="S76"/>
      <c r="T76"/>
      <c r="U76"/>
    </row>
    <row r="77" spans="2:21" ht="15" customHeight="1" x14ac:dyDescent="0.25">
      <c r="B77" s="31"/>
      <c r="C77" s="31"/>
      <c r="D77" s="31"/>
      <c r="E77" s="31"/>
      <c r="F77" s="31"/>
      <c r="G77" s="31"/>
      <c r="H77" s="31"/>
      <c r="I77" s="31"/>
      <c r="J77" s="31"/>
      <c r="K77"/>
      <c r="L77"/>
      <c r="M77"/>
      <c r="N77"/>
      <c r="O77"/>
      <c r="P77"/>
      <c r="Q77"/>
      <c r="R77"/>
      <c r="S77"/>
      <c r="T77"/>
      <c r="U77"/>
    </row>
    <row r="78" spans="2:21" ht="15" customHeight="1" x14ac:dyDescent="0.25">
      <c r="B78" s="31"/>
      <c r="C78" s="31"/>
      <c r="D78" s="31"/>
      <c r="E78" s="31"/>
      <c r="F78" s="31"/>
      <c r="G78" s="31"/>
      <c r="H78" s="31"/>
      <c r="I78" s="31"/>
      <c r="J78" s="31"/>
      <c r="K78"/>
      <c r="L78"/>
      <c r="M78"/>
      <c r="N78"/>
      <c r="O78"/>
      <c r="P78"/>
      <c r="Q78"/>
      <c r="R78"/>
      <c r="S78"/>
      <c r="T78"/>
      <c r="U78"/>
    </row>
    <row r="79" spans="2:21" ht="15" customHeight="1" x14ac:dyDescent="0.25">
      <c r="B79" s="31"/>
      <c r="C79" s="31"/>
      <c r="D79" s="31"/>
      <c r="E79" s="31"/>
      <c r="F79" s="31"/>
      <c r="G79" s="31"/>
      <c r="H79" s="31"/>
      <c r="I79" s="31"/>
      <c r="J79" s="31"/>
      <c r="K79"/>
      <c r="L79"/>
      <c r="M79"/>
      <c r="N79"/>
      <c r="O79"/>
      <c r="P79"/>
      <c r="Q79"/>
      <c r="R79"/>
      <c r="S79"/>
      <c r="T79"/>
      <c r="U79"/>
    </row>
    <row r="80" spans="2:21" ht="15" customHeight="1" x14ac:dyDescent="0.25">
      <c r="B80" s="31"/>
      <c r="C80" s="31"/>
      <c r="D80" s="31"/>
      <c r="E80" s="31"/>
      <c r="F80" s="31"/>
      <c r="G80" s="31"/>
      <c r="H80" s="31"/>
      <c r="I80" s="31"/>
      <c r="J80" s="31"/>
      <c r="K80"/>
      <c r="L80"/>
      <c r="M80"/>
      <c r="N80"/>
      <c r="O80"/>
      <c r="P80"/>
      <c r="Q80"/>
      <c r="R80"/>
      <c r="S80"/>
      <c r="T80"/>
      <c r="U80"/>
    </row>
    <row r="81" spans="2:21" ht="15" customHeight="1" x14ac:dyDescent="0.25">
      <c r="B81" s="31"/>
      <c r="C81" s="31"/>
      <c r="D81" s="31"/>
      <c r="E81" s="31"/>
      <c r="F81" s="31"/>
      <c r="G81" s="31"/>
      <c r="H81" s="31"/>
      <c r="I81" s="31"/>
      <c r="J81" s="31"/>
      <c r="K81"/>
      <c r="L81"/>
      <c r="M81"/>
      <c r="N81"/>
      <c r="O81"/>
      <c r="P81"/>
      <c r="Q81"/>
      <c r="R81"/>
      <c r="S81"/>
      <c r="T81"/>
      <c r="U81"/>
    </row>
    <row r="82" spans="2:21" ht="15" customHeight="1" x14ac:dyDescent="0.25">
      <c r="B82" s="31"/>
      <c r="C82" s="31"/>
      <c r="D82" s="31"/>
      <c r="E82" s="31"/>
      <c r="F82" s="31"/>
      <c r="G82" s="31"/>
      <c r="H82" s="31"/>
      <c r="I82" s="31"/>
      <c r="J82" s="31"/>
      <c r="K82"/>
      <c r="L82"/>
      <c r="M82"/>
      <c r="N82"/>
      <c r="O82"/>
      <c r="P82"/>
      <c r="Q82"/>
      <c r="R82"/>
      <c r="S82"/>
      <c r="T82"/>
      <c r="U82"/>
    </row>
    <row r="83" spans="2:21" ht="15" customHeight="1" x14ac:dyDescent="0.25">
      <c r="B83" s="31"/>
      <c r="C83" s="31"/>
      <c r="D83" s="31"/>
      <c r="E83" s="31"/>
      <c r="F83" s="31"/>
      <c r="G83" s="31"/>
      <c r="H83" s="31"/>
      <c r="I83" s="31"/>
      <c r="J83" s="31"/>
      <c r="K83"/>
      <c r="L83"/>
      <c r="M83"/>
      <c r="N83"/>
      <c r="O83"/>
      <c r="P83"/>
      <c r="Q83"/>
      <c r="R83"/>
      <c r="S83"/>
      <c r="T83"/>
      <c r="U83"/>
    </row>
    <row r="84" spans="2:21" ht="15" customHeight="1" x14ac:dyDescent="0.25">
      <c r="B84" s="31"/>
      <c r="C84" s="31"/>
      <c r="D84" s="31"/>
      <c r="E84" s="31"/>
      <c r="F84" s="31"/>
      <c r="G84" s="31"/>
      <c r="H84" s="31"/>
      <c r="I84" s="31"/>
      <c r="J84" s="31"/>
      <c r="K84"/>
      <c r="L84"/>
      <c r="M84"/>
      <c r="N84"/>
      <c r="O84"/>
      <c r="P84"/>
      <c r="Q84"/>
      <c r="R84"/>
      <c r="S84"/>
      <c r="T84"/>
      <c r="U84"/>
    </row>
    <row r="85" spans="2:21" ht="15" customHeight="1" x14ac:dyDescent="0.25">
      <c r="B85" s="31"/>
      <c r="C85" s="31"/>
      <c r="D85" s="31"/>
      <c r="E85" s="31"/>
      <c r="F85" s="31"/>
      <c r="G85" s="31"/>
      <c r="H85" s="31"/>
      <c r="I85" s="31"/>
      <c r="J85" s="31"/>
      <c r="K85"/>
      <c r="L85"/>
      <c r="M85"/>
      <c r="N85"/>
      <c r="O85"/>
      <c r="P85"/>
      <c r="Q85"/>
      <c r="R85"/>
      <c r="S85"/>
      <c r="T85"/>
      <c r="U85"/>
    </row>
    <row r="86" spans="2:21" ht="15" customHeight="1" x14ac:dyDescent="0.25">
      <c r="B86" s="31"/>
      <c r="C86" s="31"/>
      <c r="D86" s="31"/>
      <c r="E86" s="31"/>
      <c r="F86" s="31"/>
      <c r="G86" s="31"/>
      <c r="H86" s="31"/>
      <c r="I86" s="31"/>
      <c r="J86" s="31"/>
      <c r="K86"/>
      <c r="L86"/>
      <c r="M86"/>
      <c r="N86"/>
      <c r="O86"/>
      <c r="P86"/>
      <c r="Q86"/>
      <c r="R86"/>
      <c r="S86"/>
      <c r="T86"/>
      <c r="U86"/>
    </row>
    <row r="87" spans="2:21" ht="15" customHeight="1" x14ac:dyDescent="0.25">
      <c r="B87" s="31"/>
      <c r="C87" s="31"/>
      <c r="D87" s="31"/>
      <c r="E87" s="31"/>
      <c r="F87" s="31"/>
      <c r="G87" s="31"/>
      <c r="H87" s="31"/>
      <c r="I87" s="31"/>
      <c r="J87" s="31"/>
      <c r="K87"/>
      <c r="L87"/>
      <c r="M87"/>
      <c r="N87"/>
      <c r="O87"/>
      <c r="P87"/>
      <c r="Q87"/>
      <c r="R87"/>
      <c r="S87"/>
      <c r="T87"/>
      <c r="U87"/>
    </row>
    <row r="88" spans="2:21" ht="15" customHeight="1" x14ac:dyDescent="0.25">
      <c r="B88" s="31"/>
      <c r="C88" s="31"/>
      <c r="D88" s="31"/>
      <c r="E88" s="31"/>
      <c r="F88" s="31"/>
      <c r="G88" s="31"/>
      <c r="H88" s="31"/>
      <c r="I88" s="31"/>
      <c r="J88" s="31"/>
      <c r="K88"/>
      <c r="L88"/>
      <c r="M88"/>
      <c r="N88"/>
      <c r="O88"/>
      <c r="P88"/>
      <c r="Q88"/>
      <c r="R88"/>
      <c r="S88"/>
      <c r="T88"/>
      <c r="U88"/>
    </row>
    <row r="89" spans="2:21" ht="15" customHeight="1" x14ac:dyDescent="0.25">
      <c r="B89" s="31"/>
      <c r="C89" s="31"/>
      <c r="D89" s="31"/>
      <c r="E89" s="31"/>
      <c r="F89" s="31"/>
      <c r="G89" s="31"/>
      <c r="H89" s="31"/>
      <c r="I89" s="31"/>
      <c r="J89" s="31"/>
      <c r="K89"/>
      <c r="L89"/>
      <c r="M89"/>
      <c r="N89"/>
      <c r="O89"/>
      <c r="P89"/>
      <c r="Q89"/>
      <c r="R89"/>
      <c r="S89"/>
      <c r="T89"/>
      <c r="U89"/>
    </row>
    <row r="90" spans="2:21" ht="15" customHeight="1" x14ac:dyDescent="0.25">
      <c r="B90" s="31"/>
      <c r="C90" s="31"/>
      <c r="D90" s="31"/>
      <c r="E90" s="31"/>
      <c r="F90" s="31"/>
      <c r="G90" s="31"/>
      <c r="H90" s="31"/>
      <c r="I90" s="31"/>
      <c r="J90" s="31"/>
      <c r="K90"/>
      <c r="L90"/>
      <c r="M90"/>
      <c r="N90"/>
      <c r="O90"/>
      <c r="P90"/>
      <c r="Q90"/>
      <c r="R90"/>
      <c r="S90"/>
      <c r="T90"/>
      <c r="U90"/>
    </row>
    <row r="91" spans="2:21" ht="15" customHeight="1" x14ac:dyDescent="0.25">
      <c r="B91" s="31"/>
      <c r="C91" s="31"/>
      <c r="D91" s="31"/>
      <c r="E91" s="31"/>
      <c r="F91" s="31"/>
      <c r="G91" s="31"/>
      <c r="H91" s="31"/>
      <c r="I91" s="31"/>
      <c r="J91" s="31"/>
      <c r="K91"/>
      <c r="L91"/>
      <c r="M91"/>
      <c r="N91"/>
      <c r="O91"/>
      <c r="P91"/>
      <c r="Q91"/>
      <c r="R91"/>
      <c r="S91"/>
      <c r="T91"/>
      <c r="U91"/>
    </row>
    <row r="92" spans="2:21" ht="15" customHeight="1" x14ac:dyDescent="0.25">
      <c r="B92" s="31"/>
      <c r="C92" s="31"/>
      <c r="D92" s="31"/>
      <c r="E92" s="31"/>
      <c r="F92" s="31"/>
      <c r="G92" s="31"/>
      <c r="H92" s="31"/>
      <c r="I92" s="31"/>
      <c r="J92" s="31"/>
      <c r="K92"/>
      <c r="L92"/>
      <c r="M92"/>
      <c r="N92"/>
      <c r="O92"/>
      <c r="P92"/>
      <c r="Q92"/>
      <c r="R92"/>
      <c r="S92"/>
      <c r="T92"/>
      <c r="U92"/>
    </row>
    <row r="93" spans="2:21" ht="15" customHeight="1" x14ac:dyDescent="0.25">
      <c r="B93" s="31"/>
      <c r="C93" s="31"/>
      <c r="D93" s="31"/>
      <c r="E93" s="31"/>
      <c r="F93" s="31"/>
      <c r="G93" s="31"/>
      <c r="H93" s="31"/>
      <c r="I93" s="31"/>
      <c r="J93" s="31"/>
      <c r="K93"/>
      <c r="L93"/>
      <c r="M93"/>
      <c r="N93"/>
      <c r="O93"/>
      <c r="P93"/>
      <c r="Q93"/>
      <c r="R93"/>
      <c r="S93"/>
      <c r="T93"/>
      <c r="U93"/>
    </row>
    <row r="94" spans="2:21" ht="15" customHeight="1" x14ac:dyDescent="0.25">
      <c r="B94" s="31"/>
      <c r="C94" s="31"/>
      <c r="D94" s="31"/>
      <c r="E94" s="31"/>
      <c r="F94" s="31"/>
      <c r="G94" s="31"/>
      <c r="H94" s="31"/>
      <c r="I94" s="31"/>
      <c r="J94" s="31"/>
      <c r="K94"/>
      <c r="L94"/>
      <c r="M94"/>
      <c r="N94"/>
      <c r="O94"/>
      <c r="P94"/>
      <c r="Q94"/>
      <c r="R94"/>
      <c r="S94"/>
      <c r="T94"/>
      <c r="U94"/>
    </row>
    <row r="95" spans="2:21" ht="15" customHeight="1" x14ac:dyDescent="0.25">
      <c r="B95" s="31"/>
      <c r="C95" s="31"/>
      <c r="D95" s="31"/>
      <c r="E95" s="31"/>
      <c r="F95" s="31"/>
      <c r="G95" s="31"/>
      <c r="H95" s="31"/>
      <c r="I95" s="31"/>
      <c r="J95" s="31"/>
      <c r="K95"/>
      <c r="L95"/>
      <c r="M95"/>
      <c r="N95"/>
      <c r="O95"/>
      <c r="P95"/>
      <c r="Q95"/>
      <c r="R95"/>
      <c r="S95"/>
      <c r="T95"/>
      <c r="U95"/>
    </row>
    <row r="96" spans="2:21" ht="15" customHeight="1" x14ac:dyDescent="0.25">
      <c r="B96" s="31"/>
      <c r="C96" s="31"/>
      <c r="D96" s="31"/>
      <c r="E96" s="31"/>
      <c r="F96" s="31"/>
      <c r="G96" s="31"/>
      <c r="H96" s="31"/>
      <c r="I96" s="31"/>
      <c r="J96" s="31"/>
      <c r="K96"/>
      <c r="L96"/>
      <c r="M96"/>
      <c r="N96"/>
      <c r="O96"/>
      <c r="P96"/>
      <c r="Q96"/>
      <c r="R96"/>
      <c r="S96"/>
      <c r="T96"/>
      <c r="U96"/>
    </row>
    <row r="97" spans="2:21" ht="15" customHeight="1" x14ac:dyDescent="0.25">
      <c r="B97" s="31"/>
      <c r="C97" s="31"/>
      <c r="D97" s="31"/>
      <c r="E97" s="31"/>
      <c r="F97" s="31"/>
      <c r="G97" s="31"/>
      <c r="H97" s="31"/>
      <c r="I97" s="31"/>
      <c r="J97" s="31"/>
      <c r="K97"/>
      <c r="L97"/>
      <c r="M97"/>
      <c r="N97"/>
      <c r="O97"/>
      <c r="P97"/>
      <c r="Q97"/>
      <c r="R97"/>
      <c r="S97"/>
      <c r="T97"/>
      <c r="U97"/>
    </row>
    <row r="98" spans="2:21" ht="15" customHeight="1" x14ac:dyDescent="0.25">
      <c r="B98" s="31"/>
      <c r="C98" s="31"/>
      <c r="D98" s="31"/>
      <c r="E98" s="31"/>
      <c r="F98" s="31"/>
      <c r="G98" s="31"/>
      <c r="H98" s="31"/>
      <c r="I98" s="31"/>
      <c r="J98" s="31"/>
      <c r="K98"/>
      <c r="L98"/>
      <c r="M98"/>
      <c r="N98"/>
      <c r="O98"/>
      <c r="P98"/>
      <c r="Q98"/>
      <c r="R98"/>
      <c r="S98"/>
      <c r="T98"/>
      <c r="U98"/>
    </row>
    <row r="99" spans="2:21" ht="15" customHeight="1" x14ac:dyDescent="0.25">
      <c r="B99" s="31"/>
      <c r="C99" s="31"/>
      <c r="D99" s="31"/>
      <c r="E99" s="31"/>
      <c r="F99" s="31"/>
      <c r="G99" s="31"/>
      <c r="H99" s="31"/>
      <c r="I99" s="31"/>
      <c r="J99" s="31"/>
      <c r="K99"/>
      <c r="L99"/>
      <c r="M99"/>
      <c r="N99"/>
      <c r="O99"/>
      <c r="P99"/>
      <c r="Q99"/>
      <c r="R99"/>
      <c r="S99"/>
      <c r="T99"/>
      <c r="U99"/>
    </row>
    <row r="100" spans="2:21" ht="15" customHeight="1" x14ac:dyDescent="0.25">
      <c r="B100" s="31"/>
      <c r="C100" s="31"/>
      <c r="D100" s="31"/>
      <c r="E100" s="31"/>
      <c r="F100" s="31"/>
      <c r="G100" s="31"/>
      <c r="H100" s="31"/>
      <c r="I100" s="31"/>
      <c r="J100" s="31"/>
      <c r="K100"/>
      <c r="L100"/>
      <c r="M100"/>
      <c r="N100"/>
      <c r="O100"/>
      <c r="P100"/>
      <c r="Q100"/>
      <c r="R100"/>
      <c r="S100"/>
      <c r="T100"/>
      <c r="U100"/>
    </row>
    <row r="101" spans="2:21" ht="15" customHeight="1" x14ac:dyDescent="0.25">
      <c r="B101" s="31"/>
      <c r="C101" s="31"/>
      <c r="D101" s="31"/>
      <c r="E101" s="31"/>
      <c r="F101" s="31"/>
      <c r="G101" s="31"/>
      <c r="H101" s="31"/>
      <c r="I101" s="31"/>
      <c r="J101" s="31"/>
      <c r="K101"/>
      <c r="L101"/>
      <c r="M101"/>
      <c r="N101"/>
      <c r="O101"/>
      <c r="P101"/>
      <c r="Q101"/>
      <c r="R101"/>
      <c r="S101"/>
      <c r="T101"/>
      <c r="U101"/>
    </row>
  </sheetData>
  <mergeCells count="1">
    <mergeCell ref="H1:I1"/>
  </mergeCells>
  <conditionalFormatting sqref="B1">
    <cfRule type="cellIs" dxfId="65" priority="1" operator="equal">
      <formula>"Incomplete"</formula>
    </cfRule>
    <cfRule type="cellIs" dxfId="64" priority="2" operator="equal">
      <formula>"Flag for Review"</formula>
    </cfRule>
    <cfRule type="cellIs" dxfId="63" priority="3" operator="equal">
      <formula>"Finished"</formula>
    </cfRule>
  </conditionalFormatting>
  <dataValidations count="1">
    <dataValidation type="list" allowBlank="1" showInputMessage="1" showErrorMessage="1" sqref="B1">
      <formula1>"Finished, Flag for Review, Incomplete"</formula1>
    </dataValidation>
  </dataValidations>
  <hyperlinks>
    <hyperlink ref="H1" location="'Point Grid'!A8" display="Return to Point Grid"/>
    <hyperlink ref="H1:I1" location="'Point Grid'!A1" display="Return to Point Grid"/>
  </hyperlink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U101"/>
  <sheetViews>
    <sheetView zoomScaleNormal="100" workbookViewId="0"/>
  </sheetViews>
  <sheetFormatPr defaultColWidth="9.140625" defaultRowHeight="15" x14ac:dyDescent="0.25"/>
  <cols>
    <col min="1" max="1" width="9.140625" style="21"/>
    <col min="2" max="2" width="16" style="21" bestFit="1" customWidth="1"/>
    <col min="3" max="9" width="11.140625" style="21" customWidth="1"/>
    <col min="10" max="16384" width="9.140625" style="21"/>
  </cols>
  <sheetData>
    <row r="1" spans="1:21" x14ac:dyDescent="0.25">
      <c r="A1" s="7">
        <v>10</v>
      </c>
      <c r="B1" s="27" t="s">
        <v>12</v>
      </c>
      <c r="C1" s="20"/>
      <c r="D1" s="20"/>
      <c r="E1" s="20"/>
      <c r="F1" s="20"/>
      <c r="G1" s="20"/>
      <c r="H1" s="384" t="s">
        <v>24</v>
      </c>
      <c r="I1" s="385"/>
      <c r="K1"/>
      <c r="L1"/>
      <c r="M1"/>
      <c r="N1"/>
      <c r="O1"/>
      <c r="P1"/>
      <c r="Q1"/>
      <c r="R1"/>
      <c r="S1"/>
      <c r="T1"/>
      <c r="U1"/>
    </row>
    <row r="2" spans="1:21" x14ac:dyDescent="0.25">
      <c r="A2" s="22"/>
      <c r="B2" s="19"/>
      <c r="C2" s="19"/>
      <c r="D2" s="19"/>
      <c r="E2" s="19"/>
      <c r="F2" s="19"/>
      <c r="G2" s="19"/>
      <c r="H2" s="19"/>
      <c r="I2" s="23"/>
      <c r="K2"/>
      <c r="L2"/>
      <c r="M2"/>
      <c r="N2"/>
      <c r="O2"/>
      <c r="P2"/>
      <c r="Q2"/>
      <c r="R2"/>
      <c r="S2"/>
      <c r="T2"/>
      <c r="U2"/>
    </row>
    <row r="3" spans="1:21" x14ac:dyDescent="0.25">
      <c r="A3" s="8" t="s">
        <v>13</v>
      </c>
      <c r="B3" s="17"/>
      <c r="C3" s="17"/>
      <c r="D3" s="17"/>
      <c r="E3" s="17"/>
      <c r="F3" s="17"/>
      <c r="G3" s="17"/>
      <c r="H3" s="17"/>
      <c r="I3" s="18"/>
      <c r="J3" s="31"/>
      <c r="K3"/>
      <c r="L3"/>
      <c r="M3"/>
      <c r="N3"/>
      <c r="O3"/>
      <c r="P3"/>
      <c r="Q3"/>
      <c r="R3"/>
      <c r="S3"/>
      <c r="T3"/>
      <c r="U3"/>
    </row>
    <row r="4" spans="1:21" x14ac:dyDescent="0.25">
      <c r="A4" s="9">
        <f>INDEX('Point Grid'!B:B,MATCH(A1,'Point Grid'!A:A,0))</f>
        <v>2</v>
      </c>
      <c r="B4" s="17"/>
      <c r="C4" s="17"/>
      <c r="D4" s="17"/>
      <c r="E4" s="17"/>
      <c r="F4" s="17"/>
      <c r="G4" s="17"/>
      <c r="H4" s="17"/>
      <c r="I4" s="18"/>
      <c r="J4" s="31"/>
      <c r="K4"/>
      <c r="L4"/>
      <c r="M4"/>
      <c r="N4"/>
      <c r="O4"/>
      <c r="P4"/>
      <c r="Q4"/>
      <c r="R4"/>
      <c r="S4"/>
      <c r="T4"/>
      <c r="U4"/>
    </row>
    <row r="5" spans="1:21" x14ac:dyDescent="0.25">
      <c r="A5" s="16"/>
      <c r="B5" s="17"/>
      <c r="C5" s="17"/>
      <c r="D5" s="17"/>
      <c r="E5" s="17"/>
      <c r="F5" s="17"/>
      <c r="G5" s="17"/>
      <c r="H5" s="17"/>
      <c r="I5" s="18"/>
      <c r="J5" s="31"/>
      <c r="K5"/>
      <c r="L5"/>
      <c r="M5"/>
      <c r="N5"/>
      <c r="O5"/>
      <c r="P5"/>
      <c r="Q5"/>
      <c r="R5"/>
      <c r="S5"/>
      <c r="T5"/>
      <c r="U5"/>
    </row>
    <row r="6" spans="1:21" x14ac:dyDescent="0.25">
      <c r="A6" s="25" t="s">
        <v>2</v>
      </c>
      <c r="B6" s="17" t="s">
        <v>86</v>
      </c>
      <c r="C6" s="17"/>
      <c r="D6" s="17"/>
      <c r="E6" s="17"/>
      <c r="F6" s="17"/>
      <c r="G6" s="17"/>
      <c r="H6" s="17"/>
      <c r="I6" s="18"/>
      <c r="J6" s="31"/>
      <c r="K6"/>
      <c r="L6"/>
      <c r="M6"/>
      <c r="N6"/>
      <c r="O6"/>
      <c r="P6"/>
      <c r="Q6"/>
      <c r="R6"/>
      <c r="S6"/>
      <c r="T6"/>
      <c r="U6"/>
    </row>
    <row r="7" spans="1:21" ht="15.75" thickBot="1" x14ac:dyDescent="0.3">
      <c r="A7" s="9">
        <f>INDEX('Point Grid'!$C$8:$I$54,MATCH($A$1,'Point Grid'!$A$8:$A$54,0),MATCH(A6,'Point Grid'!$C$7:$I$7,0))</f>
        <v>1</v>
      </c>
      <c r="B7" s="17" t="s">
        <v>87</v>
      </c>
      <c r="C7" s="17"/>
      <c r="D7" s="17"/>
      <c r="E7" s="17"/>
      <c r="F7" s="17"/>
      <c r="G7" s="17"/>
      <c r="H7" s="17"/>
      <c r="I7" s="18"/>
      <c r="J7" s="31"/>
      <c r="K7"/>
      <c r="L7"/>
      <c r="M7"/>
      <c r="N7"/>
      <c r="O7"/>
      <c r="P7"/>
      <c r="Q7"/>
      <c r="R7"/>
      <c r="S7"/>
      <c r="T7"/>
      <c r="U7"/>
    </row>
    <row r="8" spans="1:21" ht="15.75" thickBot="1" x14ac:dyDescent="0.3">
      <c r="A8" s="5"/>
      <c r="B8" s="17"/>
      <c r="C8" s="28"/>
      <c r="D8" s="28"/>
      <c r="E8" s="28"/>
      <c r="F8" s="28"/>
      <c r="G8" s="28"/>
      <c r="H8" s="28"/>
      <c r="I8" s="18"/>
      <c r="J8" s="31"/>
      <c r="K8"/>
      <c r="L8"/>
      <c r="M8"/>
      <c r="N8"/>
      <c r="O8"/>
      <c r="P8"/>
      <c r="Q8"/>
      <c r="R8"/>
      <c r="S8"/>
      <c r="T8"/>
      <c r="U8"/>
    </row>
    <row r="9" spans="1:21" x14ac:dyDescent="0.25">
      <c r="A9" s="25"/>
      <c r="B9" s="17"/>
      <c r="C9" s="17"/>
      <c r="D9" s="17"/>
      <c r="E9" s="17"/>
      <c r="F9" s="17"/>
      <c r="G9" s="17"/>
      <c r="H9" s="17"/>
      <c r="I9" s="18"/>
      <c r="J9" s="31"/>
      <c r="K9"/>
      <c r="L9"/>
      <c r="M9"/>
      <c r="N9"/>
      <c r="O9"/>
      <c r="P9"/>
      <c r="Q9"/>
      <c r="R9"/>
      <c r="S9"/>
      <c r="T9"/>
      <c r="U9"/>
    </row>
    <row r="10" spans="1:21" x14ac:dyDescent="0.25">
      <c r="A10" s="25" t="s">
        <v>3</v>
      </c>
      <c r="B10" s="17" t="s">
        <v>85</v>
      </c>
      <c r="C10" s="17"/>
      <c r="D10" s="17"/>
      <c r="E10" s="17"/>
      <c r="F10" s="17"/>
      <c r="G10" s="17"/>
      <c r="H10" s="17"/>
      <c r="I10" s="18"/>
      <c r="J10" s="31"/>
      <c r="K10"/>
      <c r="L10"/>
      <c r="M10"/>
      <c r="N10"/>
      <c r="O10"/>
      <c r="P10"/>
      <c r="Q10"/>
      <c r="R10"/>
      <c r="S10"/>
      <c r="T10"/>
      <c r="U10"/>
    </row>
    <row r="11" spans="1:21" ht="15.75" thickBot="1" x14ac:dyDescent="0.3">
      <c r="A11" s="9">
        <f>INDEX('Point Grid'!$C$8:$I$54,MATCH($A$1,'Point Grid'!$A$8:$A$54,0),MATCH(A10,'Point Grid'!$C$7:$I$7,0))</f>
        <v>1</v>
      </c>
      <c r="B11" s="17"/>
      <c r="C11" s="17"/>
      <c r="D11" s="17"/>
      <c r="E11" s="17"/>
      <c r="F11" s="17"/>
      <c r="G11" s="17"/>
      <c r="H11" s="17"/>
      <c r="I11" s="18"/>
      <c r="J11" s="31"/>
      <c r="K11"/>
      <c r="L11"/>
      <c r="M11"/>
      <c r="N11"/>
      <c r="O11"/>
      <c r="P11"/>
      <c r="Q11"/>
      <c r="R11"/>
      <c r="S11"/>
      <c r="T11"/>
      <c r="U11"/>
    </row>
    <row r="12" spans="1:21" ht="15.75" thickBot="1" x14ac:dyDescent="0.3">
      <c r="A12" s="5"/>
      <c r="B12" s="17"/>
      <c r="C12" s="92" t="s">
        <v>88</v>
      </c>
      <c r="D12" s="93"/>
      <c r="E12" s="94"/>
      <c r="F12" s="95">
        <v>114700</v>
      </c>
      <c r="G12" s="96"/>
      <c r="H12" s="28"/>
      <c r="I12" s="18"/>
      <c r="J12" s="31"/>
      <c r="K12"/>
      <c r="L12"/>
      <c r="M12"/>
      <c r="N12"/>
      <c r="O12"/>
      <c r="P12"/>
      <c r="Q12"/>
      <c r="R12"/>
      <c r="S12"/>
      <c r="T12"/>
      <c r="U12"/>
    </row>
    <row r="13" spans="1:21" x14ac:dyDescent="0.25">
      <c r="A13" s="25"/>
      <c r="B13" s="17"/>
      <c r="C13" s="97" t="s">
        <v>89</v>
      </c>
      <c r="D13" s="98"/>
      <c r="E13" s="99"/>
      <c r="F13" s="100">
        <v>27080</v>
      </c>
      <c r="G13" s="96"/>
      <c r="H13" s="28"/>
      <c r="I13" s="18"/>
      <c r="J13" s="31"/>
      <c r="K13"/>
      <c r="L13"/>
      <c r="M13"/>
      <c r="N13"/>
      <c r="O13"/>
      <c r="P13"/>
      <c r="Q13"/>
      <c r="R13"/>
      <c r="S13"/>
      <c r="T13"/>
      <c r="U13"/>
    </row>
    <row r="14" spans="1:21" x14ac:dyDescent="0.25">
      <c r="A14" s="25"/>
      <c r="B14" s="17"/>
      <c r="C14" s="97" t="s">
        <v>90</v>
      </c>
      <c r="D14" s="98"/>
      <c r="E14" s="99"/>
      <c r="F14" s="100">
        <v>17520</v>
      </c>
      <c r="G14" s="96"/>
      <c r="H14" s="28"/>
      <c r="I14" s="18"/>
      <c r="J14" s="31"/>
      <c r="K14"/>
      <c r="L14"/>
      <c r="M14"/>
      <c r="N14"/>
      <c r="O14"/>
      <c r="P14"/>
      <c r="Q14"/>
      <c r="R14"/>
      <c r="S14"/>
      <c r="T14"/>
      <c r="U14"/>
    </row>
    <row r="15" spans="1:21" x14ac:dyDescent="0.25">
      <c r="A15" s="25"/>
      <c r="B15" s="17"/>
      <c r="C15" s="97" t="s">
        <v>91</v>
      </c>
      <c r="D15" s="101"/>
      <c r="E15" s="102"/>
      <c r="F15" s="99">
        <v>540</v>
      </c>
      <c r="G15" s="96"/>
      <c r="H15" s="28"/>
      <c r="I15" s="18"/>
      <c r="J15" s="31"/>
      <c r="K15"/>
      <c r="L15"/>
      <c r="M15"/>
      <c r="N15"/>
      <c r="O15"/>
      <c r="P15"/>
      <c r="Q15"/>
      <c r="R15"/>
      <c r="S15"/>
      <c r="T15"/>
      <c r="U15"/>
    </row>
    <row r="16" spans="1:21" x14ac:dyDescent="0.25">
      <c r="A16" s="25"/>
      <c r="B16" s="17"/>
      <c r="C16" s="92" t="s">
        <v>92</v>
      </c>
      <c r="D16" s="93"/>
      <c r="E16" s="94"/>
      <c r="F16" s="103">
        <v>0.18</v>
      </c>
      <c r="G16" s="96" t="s">
        <v>93</v>
      </c>
      <c r="H16" s="28"/>
      <c r="I16" s="18"/>
      <c r="J16" s="31"/>
      <c r="K16"/>
      <c r="L16"/>
      <c r="M16"/>
      <c r="N16"/>
      <c r="O16"/>
      <c r="P16"/>
      <c r="Q16"/>
      <c r="R16"/>
      <c r="S16"/>
      <c r="T16"/>
      <c r="U16"/>
    </row>
    <row r="17" spans="1:21" x14ac:dyDescent="0.25">
      <c r="A17" s="25"/>
      <c r="B17" s="17"/>
      <c r="C17" s="104" t="s">
        <v>94</v>
      </c>
      <c r="D17" s="105"/>
      <c r="E17" s="106"/>
      <c r="F17" s="107">
        <v>0.05</v>
      </c>
      <c r="G17" s="96" t="s">
        <v>95</v>
      </c>
      <c r="H17" s="28"/>
      <c r="I17" s="18"/>
      <c r="J17" s="31"/>
      <c r="K17"/>
      <c r="L17"/>
      <c r="M17"/>
      <c r="N17"/>
      <c r="O17"/>
      <c r="P17"/>
      <c r="Q17"/>
      <c r="R17"/>
      <c r="S17"/>
      <c r="T17"/>
      <c r="U17"/>
    </row>
    <row r="18" spans="1:21" ht="15" customHeight="1" x14ac:dyDescent="0.25">
      <c r="A18" s="25"/>
      <c r="B18" s="17"/>
      <c r="C18" s="28"/>
      <c r="D18" s="28"/>
      <c r="E18" s="28"/>
      <c r="F18" s="28"/>
      <c r="G18" s="28"/>
      <c r="H18" s="28"/>
      <c r="I18" s="18"/>
      <c r="J18" s="31"/>
      <c r="K18"/>
      <c r="L18"/>
      <c r="M18"/>
      <c r="N18"/>
      <c r="O18"/>
      <c r="P18"/>
      <c r="Q18"/>
      <c r="R18"/>
      <c r="S18"/>
      <c r="T18"/>
      <c r="U18"/>
    </row>
    <row r="19" spans="1:21" ht="15" customHeight="1" x14ac:dyDescent="0.25">
      <c r="A19" s="25"/>
      <c r="B19" s="17"/>
      <c r="C19" s="28"/>
      <c r="D19" s="28"/>
      <c r="E19" s="28"/>
      <c r="F19" s="28"/>
      <c r="G19" s="28"/>
      <c r="H19" s="28"/>
      <c r="I19" s="18"/>
      <c r="J19" s="31"/>
      <c r="K19"/>
      <c r="L19"/>
      <c r="M19"/>
      <c r="N19"/>
      <c r="O19"/>
      <c r="P19"/>
      <c r="Q19"/>
      <c r="R19"/>
      <c r="S19"/>
      <c r="T19"/>
      <c r="U19"/>
    </row>
    <row r="20" spans="1:21" ht="15" customHeight="1" x14ac:dyDescent="0.25">
      <c r="A20" s="25"/>
      <c r="B20" s="17"/>
      <c r="C20" s="28"/>
      <c r="D20" s="28"/>
      <c r="E20" s="28"/>
      <c r="F20" s="28"/>
      <c r="G20" s="28"/>
      <c r="H20" s="28"/>
      <c r="I20" s="18"/>
      <c r="J20" s="31"/>
      <c r="K20"/>
      <c r="L20"/>
      <c r="M20"/>
      <c r="N20"/>
      <c r="O20"/>
      <c r="P20"/>
      <c r="Q20"/>
      <c r="R20"/>
      <c r="S20"/>
      <c r="T20"/>
      <c r="U20"/>
    </row>
    <row r="21" spans="1:21" ht="15" customHeight="1" x14ac:dyDescent="0.25">
      <c r="A21" s="25"/>
      <c r="B21" s="17"/>
      <c r="C21" s="28"/>
      <c r="D21" s="28"/>
      <c r="E21" s="28"/>
      <c r="F21" s="28"/>
      <c r="G21" s="28"/>
      <c r="H21" s="28"/>
      <c r="I21" s="18"/>
      <c r="J21" s="31"/>
      <c r="K21"/>
      <c r="L21"/>
      <c r="M21"/>
      <c r="N21"/>
      <c r="O21"/>
      <c r="P21"/>
      <c r="Q21"/>
      <c r="R21"/>
      <c r="S21"/>
      <c r="T21"/>
      <c r="U21"/>
    </row>
    <row r="22" spans="1:21" ht="15" customHeight="1" x14ac:dyDescent="0.25">
      <c r="A22" s="25"/>
      <c r="B22" s="17"/>
      <c r="C22" s="28"/>
      <c r="D22" s="28"/>
      <c r="E22" s="28"/>
      <c r="F22" s="28"/>
      <c r="G22" s="28"/>
      <c r="H22" s="28"/>
      <c r="I22" s="18"/>
      <c r="J22" s="31"/>
      <c r="K22"/>
      <c r="L22"/>
      <c r="M22"/>
      <c r="N22"/>
      <c r="O22"/>
      <c r="P22"/>
      <c r="Q22"/>
      <c r="R22"/>
      <c r="S22"/>
      <c r="T22"/>
      <c r="U22"/>
    </row>
    <row r="23" spans="1:21" ht="15" customHeight="1" x14ac:dyDescent="0.25">
      <c r="A23" s="25"/>
      <c r="B23" s="17"/>
      <c r="C23" s="28"/>
      <c r="D23" s="28"/>
      <c r="E23" s="28"/>
      <c r="F23" s="28"/>
      <c r="G23" s="28"/>
      <c r="H23" s="28"/>
      <c r="I23" s="18"/>
      <c r="J23" s="31"/>
      <c r="K23"/>
      <c r="L23"/>
      <c r="M23"/>
      <c r="N23"/>
      <c r="O23"/>
      <c r="P23"/>
      <c r="Q23"/>
      <c r="R23"/>
      <c r="S23"/>
      <c r="T23"/>
      <c r="U23"/>
    </row>
    <row r="24" spans="1:21" ht="15" customHeight="1" x14ac:dyDescent="0.25">
      <c r="A24" s="25"/>
      <c r="B24" s="17"/>
      <c r="C24" s="28"/>
      <c r="D24" s="28"/>
      <c r="E24" s="28"/>
      <c r="F24" s="28"/>
      <c r="G24" s="28"/>
      <c r="H24" s="28"/>
      <c r="I24" s="18"/>
      <c r="J24" s="31"/>
      <c r="K24"/>
      <c r="L24"/>
      <c r="M24"/>
      <c r="N24"/>
      <c r="O24"/>
      <c r="P24"/>
      <c r="Q24"/>
      <c r="R24"/>
      <c r="S24"/>
      <c r="T24"/>
      <c r="U24"/>
    </row>
    <row r="25" spans="1:21" ht="15" customHeight="1" x14ac:dyDescent="0.25">
      <c r="A25" s="25"/>
      <c r="B25" s="17"/>
      <c r="C25" s="28"/>
      <c r="D25" s="28"/>
      <c r="E25" s="28"/>
      <c r="F25" s="28"/>
      <c r="G25" s="28"/>
      <c r="H25" s="28"/>
      <c r="I25" s="18"/>
      <c r="J25" s="31"/>
      <c r="K25"/>
      <c r="L25"/>
      <c r="M25"/>
      <c r="N25"/>
      <c r="O25"/>
      <c r="P25"/>
      <c r="Q25"/>
      <c r="R25"/>
      <c r="S25"/>
      <c r="T25"/>
      <c r="U25"/>
    </row>
    <row r="26" spans="1:21" ht="15" customHeight="1" x14ac:dyDescent="0.25">
      <c r="A26" s="25"/>
      <c r="B26" s="17"/>
      <c r="C26" s="28"/>
      <c r="D26" s="28"/>
      <c r="E26" s="28"/>
      <c r="F26" s="28"/>
      <c r="G26" s="28"/>
      <c r="H26" s="28"/>
      <c r="I26" s="18"/>
      <c r="J26" s="31"/>
      <c r="K26"/>
      <c r="L26"/>
      <c r="M26"/>
      <c r="N26"/>
      <c r="O26"/>
      <c r="P26"/>
      <c r="Q26"/>
      <c r="R26"/>
      <c r="S26"/>
      <c r="T26"/>
      <c r="U26"/>
    </row>
    <row r="27" spans="1:21" ht="15" customHeight="1" x14ac:dyDescent="0.25">
      <c r="A27" s="25"/>
      <c r="B27" s="17"/>
      <c r="C27" s="28"/>
      <c r="D27" s="28"/>
      <c r="E27" s="28"/>
      <c r="F27" s="28"/>
      <c r="G27" s="28"/>
      <c r="H27" s="28"/>
      <c r="I27" s="18"/>
      <c r="J27" s="31"/>
      <c r="K27"/>
      <c r="L27"/>
      <c r="M27"/>
      <c r="N27"/>
      <c r="O27"/>
      <c r="P27"/>
      <c r="Q27"/>
      <c r="R27"/>
      <c r="S27"/>
      <c r="T27"/>
      <c r="U27"/>
    </row>
    <row r="28" spans="1:21" ht="15" customHeight="1" x14ac:dyDescent="0.25">
      <c r="A28" s="25"/>
      <c r="B28" s="17"/>
      <c r="C28" s="28"/>
      <c r="D28" s="28"/>
      <c r="E28" s="28"/>
      <c r="F28" s="28"/>
      <c r="G28" s="28"/>
      <c r="H28" s="28"/>
      <c r="I28" s="18"/>
      <c r="J28" s="31"/>
      <c r="K28"/>
      <c r="L28"/>
      <c r="M28"/>
      <c r="N28"/>
      <c r="O28"/>
      <c r="P28"/>
      <c r="Q28"/>
      <c r="R28"/>
      <c r="S28"/>
      <c r="T28"/>
      <c r="U28"/>
    </row>
    <row r="29" spans="1:21" ht="15" customHeight="1" x14ac:dyDescent="0.25">
      <c r="A29" s="22"/>
      <c r="B29" s="17"/>
      <c r="C29" s="17"/>
      <c r="D29" s="17"/>
      <c r="E29" s="17"/>
      <c r="F29" s="17"/>
      <c r="G29" s="17"/>
      <c r="H29" s="17"/>
      <c r="I29" s="18"/>
      <c r="J29" s="31"/>
      <c r="K29"/>
      <c r="L29"/>
      <c r="M29"/>
      <c r="N29"/>
      <c r="O29"/>
      <c r="P29"/>
      <c r="Q29"/>
      <c r="R29"/>
      <c r="S29"/>
      <c r="T29"/>
      <c r="U29"/>
    </row>
    <row r="30" spans="1:21" ht="15" customHeight="1" thickBot="1" x14ac:dyDescent="0.3">
      <c r="A30" s="24"/>
      <c r="B30" s="32"/>
      <c r="C30" s="32"/>
      <c r="D30" s="32"/>
      <c r="E30" s="32"/>
      <c r="F30" s="32"/>
      <c r="G30" s="32"/>
      <c r="H30" s="32"/>
      <c r="I30" s="33"/>
      <c r="J30" s="31"/>
      <c r="K30"/>
      <c r="L30"/>
      <c r="M30"/>
      <c r="N30"/>
      <c r="O30"/>
      <c r="P30"/>
      <c r="Q30"/>
      <c r="R30"/>
      <c r="S30"/>
      <c r="T30"/>
      <c r="U30"/>
    </row>
    <row r="31" spans="1:21" ht="15" customHeight="1" x14ac:dyDescent="0.25">
      <c r="B31" s="31"/>
      <c r="C31" s="31"/>
      <c r="D31" s="31"/>
      <c r="E31" s="31"/>
      <c r="F31" s="31"/>
      <c r="G31" s="31"/>
      <c r="H31" s="31"/>
      <c r="I31" s="31"/>
      <c r="J31" s="31"/>
      <c r="K31"/>
      <c r="L31"/>
      <c r="M31"/>
      <c r="N31"/>
      <c r="O31"/>
      <c r="P31"/>
      <c r="Q31"/>
      <c r="R31"/>
      <c r="S31"/>
      <c r="T31"/>
      <c r="U31"/>
    </row>
    <row r="32" spans="1:21" ht="15" customHeight="1" x14ac:dyDescent="0.25">
      <c r="J32" s="31"/>
      <c r="K32"/>
      <c r="L32"/>
      <c r="M32"/>
      <c r="N32"/>
      <c r="O32"/>
      <c r="P32"/>
      <c r="Q32"/>
      <c r="R32"/>
      <c r="S32"/>
      <c r="T32"/>
      <c r="U32"/>
    </row>
    <row r="33" spans="2:21" ht="15" customHeight="1" x14ac:dyDescent="0.25">
      <c r="J33" s="31"/>
      <c r="K33"/>
      <c r="L33"/>
      <c r="M33"/>
      <c r="N33"/>
      <c r="O33"/>
      <c r="P33"/>
      <c r="Q33"/>
      <c r="R33"/>
      <c r="S33"/>
      <c r="T33"/>
      <c r="U33"/>
    </row>
    <row r="34" spans="2:21" ht="15" customHeight="1" x14ac:dyDescent="0.25">
      <c r="J34" s="31"/>
      <c r="K34"/>
      <c r="L34"/>
      <c r="M34"/>
      <c r="N34"/>
      <c r="O34"/>
      <c r="P34"/>
      <c r="Q34"/>
      <c r="R34"/>
      <c r="S34"/>
      <c r="T34"/>
      <c r="U34"/>
    </row>
    <row r="35" spans="2:21" ht="15" customHeight="1" x14ac:dyDescent="0.25">
      <c r="J35" s="31"/>
      <c r="K35"/>
      <c r="L35"/>
      <c r="M35"/>
      <c r="N35"/>
      <c r="O35"/>
      <c r="P35"/>
      <c r="Q35"/>
      <c r="R35"/>
      <c r="S35"/>
      <c r="T35"/>
      <c r="U35"/>
    </row>
    <row r="36" spans="2:21" ht="15" customHeight="1" x14ac:dyDescent="0.25">
      <c r="J36" s="31"/>
      <c r="K36"/>
      <c r="L36"/>
      <c r="M36"/>
      <c r="N36"/>
      <c r="O36"/>
      <c r="P36"/>
      <c r="Q36"/>
      <c r="R36"/>
      <c r="S36"/>
      <c r="T36"/>
      <c r="U36"/>
    </row>
    <row r="37" spans="2:21" ht="15" customHeight="1" x14ac:dyDescent="0.25">
      <c r="J37" s="31"/>
      <c r="K37"/>
      <c r="L37"/>
      <c r="M37"/>
      <c r="N37"/>
      <c r="O37"/>
      <c r="P37"/>
      <c r="Q37"/>
      <c r="R37"/>
      <c r="S37"/>
      <c r="T37"/>
      <c r="U37"/>
    </row>
    <row r="38" spans="2:21" ht="15" customHeight="1" x14ac:dyDescent="0.25">
      <c r="J38" s="31"/>
      <c r="K38"/>
      <c r="L38"/>
      <c r="M38"/>
      <c r="N38"/>
      <c r="O38"/>
      <c r="P38"/>
      <c r="Q38"/>
      <c r="R38"/>
      <c r="S38"/>
      <c r="T38"/>
      <c r="U38"/>
    </row>
    <row r="39" spans="2:21" ht="15" customHeight="1" x14ac:dyDescent="0.25">
      <c r="J39" s="31"/>
      <c r="K39"/>
      <c r="L39"/>
      <c r="M39"/>
      <c r="N39"/>
      <c r="O39"/>
      <c r="P39"/>
      <c r="Q39"/>
      <c r="R39"/>
      <c r="S39"/>
      <c r="T39"/>
      <c r="U39"/>
    </row>
    <row r="40" spans="2:21" ht="15" customHeight="1" x14ac:dyDescent="0.25">
      <c r="J40" s="31"/>
      <c r="K40"/>
      <c r="L40"/>
      <c r="M40"/>
      <c r="N40"/>
      <c r="O40"/>
      <c r="P40"/>
      <c r="Q40"/>
      <c r="R40"/>
      <c r="S40"/>
      <c r="T40"/>
      <c r="U40"/>
    </row>
    <row r="41" spans="2:21" ht="15" customHeight="1" x14ac:dyDescent="0.25">
      <c r="J41" s="31"/>
      <c r="K41"/>
      <c r="L41"/>
      <c r="M41"/>
      <c r="N41"/>
      <c r="O41"/>
      <c r="P41"/>
      <c r="Q41"/>
      <c r="R41"/>
      <c r="S41"/>
      <c r="T41"/>
      <c r="U41"/>
    </row>
    <row r="42" spans="2:21" ht="15" customHeight="1" x14ac:dyDescent="0.25">
      <c r="J42" s="31"/>
      <c r="K42"/>
      <c r="L42"/>
      <c r="M42"/>
      <c r="N42"/>
      <c r="O42"/>
      <c r="P42"/>
      <c r="Q42"/>
      <c r="R42"/>
      <c r="S42"/>
      <c r="T42"/>
      <c r="U42"/>
    </row>
    <row r="43" spans="2:21" ht="15" customHeight="1" x14ac:dyDescent="0.25">
      <c r="J43" s="31"/>
      <c r="K43"/>
      <c r="L43"/>
      <c r="M43"/>
      <c r="N43"/>
      <c r="O43"/>
      <c r="P43"/>
      <c r="Q43"/>
      <c r="R43"/>
      <c r="S43"/>
      <c r="T43"/>
      <c r="U43"/>
    </row>
    <row r="44" spans="2:21" ht="15" customHeight="1" x14ac:dyDescent="0.25">
      <c r="J44" s="31"/>
      <c r="K44"/>
      <c r="L44"/>
      <c r="M44"/>
      <c r="N44"/>
      <c r="O44"/>
      <c r="P44"/>
      <c r="Q44"/>
      <c r="R44"/>
      <c r="S44"/>
      <c r="T44"/>
      <c r="U44"/>
    </row>
    <row r="45" spans="2:21" ht="15" customHeight="1" x14ac:dyDescent="0.25">
      <c r="J45" s="31"/>
      <c r="K45"/>
      <c r="L45"/>
      <c r="M45"/>
      <c r="N45"/>
      <c r="O45"/>
      <c r="P45"/>
      <c r="Q45"/>
      <c r="R45"/>
      <c r="S45"/>
      <c r="T45"/>
      <c r="U45"/>
    </row>
    <row r="46" spans="2:21" ht="15" customHeight="1" x14ac:dyDescent="0.25">
      <c r="B46" s="31"/>
      <c r="C46" s="31"/>
      <c r="D46" s="31"/>
      <c r="E46" s="31"/>
      <c r="F46" s="31"/>
      <c r="G46" s="31"/>
      <c r="H46" s="31"/>
      <c r="I46" s="31"/>
      <c r="J46" s="31"/>
      <c r="K46"/>
      <c r="L46"/>
      <c r="M46"/>
      <c r="N46"/>
      <c r="O46"/>
      <c r="P46"/>
      <c r="Q46"/>
      <c r="R46"/>
      <c r="S46"/>
      <c r="T46"/>
      <c r="U46"/>
    </row>
    <row r="47" spans="2:21" ht="15" customHeight="1" x14ac:dyDescent="0.25">
      <c r="B47" s="31"/>
      <c r="C47" s="31"/>
      <c r="D47" s="31"/>
      <c r="E47" s="31"/>
      <c r="F47" s="31"/>
      <c r="G47" s="31"/>
      <c r="H47" s="31"/>
      <c r="I47" s="31"/>
      <c r="J47" s="31"/>
      <c r="K47"/>
      <c r="L47"/>
      <c r="M47"/>
      <c r="N47"/>
      <c r="O47"/>
      <c r="P47"/>
      <c r="Q47"/>
      <c r="R47"/>
      <c r="S47"/>
      <c r="T47"/>
      <c r="U47"/>
    </row>
    <row r="48" spans="2:21" ht="15" customHeight="1" x14ac:dyDescent="0.25">
      <c r="B48" s="31"/>
      <c r="C48" s="31"/>
      <c r="D48" s="31"/>
      <c r="E48" s="31"/>
      <c r="F48" s="31"/>
      <c r="G48" s="31"/>
      <c r="H48" s="31"/>
      <c r="I48" s="31"/>
      <c r="J48" s="31"/>
      <c r="K48"/>
      <c r="L48"/>
      <c r="M48"/>
      <c r="N48"/>
      <c r="O48"/>
      <c r="P48"/>
      <c r="Q48"/>
      <c r="R48"/>
      <c r="S48"/>
      <c r="T48"/>
      <c r="U48"/>
    </row>
    <row r="49" spans="2:21" ht="15" customHeight="1" x14ac:dyDescent="0.25">
      <c r="B49" s="31"/>
      <c r="C49" s="31"/>
      <c r="D49" s="31"/>
      <c r="E49" s="31"/>
      <c r="F49" s="31"/>
      <c r="G49" s="31"/>
      <c r="H49" s="31"/>
      <c r="I49" s="31"/>
      <c r="J49" s="31"/>
      <c r="K49"/>
      <c r="L49"/>
      <c r="M49"/>
      <c r="N49"/>
      <c r="O49"/>
      <c r="P49"/>
      <c r="Q49"/>
      <c r="R49"/>
      <c r="S49"/>
      <c r="T49"/>
      <c r="U49"/>
    </row>
    <row r="50" spans="2:21" ht="15" customHeight="1" x14ac:dyDescent="0.25">
      <c r="B50" s="31"/>
      <c r="C50" s="31"/>
      <c r="D50" s="31"/>
      <c r="E50" s="31"/>
      <c r="F50" s="31"/>
      <c r="G50" s="31"/>
      <c r="H50" s="31"/>
      <c r="I50" s="31"/>
      <c r="J50" s="31"/>
      <c r="K50"/>
      <c r="L50"/>
      <c r="M50"/>
      <c r="N50"/>
      <c r="O50"/>
      <c r="P50"/>
      <c r="Q50"/>
      <c r="R50"/>
      <c r="S50"/>
      <c r="T50"/>
      <c r="U50"/>
    </row>
    <row r="51" spans="2:21" ht="15" customHeight="1" x14ac:dyDescent="0.25">
      <c r="B51" s="31"/>
      <c r="C51" s="31"/>
      <c r="D51" s="31"/>
      <c r="E51" s="31"/>
      <c r="F51" s="31"/>
      <c r="G51" s="31"/>
      <c r="H51" s="31"/>
      <c r="I51" s="31"/>
      <c r="J51" s="31"/>
      <c r="K51"/>
      <c r="L51"/>
      <c r="M51"/>
      <c r="N51"/>
      <c r="O51"/>
      <c r="P51"/>
      <c r="Q51"/>
      <c r="R51"/>
      <c r="S51"/>
      <c r="T51"/>
      <c r="U51"/>
    </row>
    <row r="52" spans="2:21" ht="15" customHeight="1" x14ac:dyDescent="0.25">
      <c r="B52" s="31"/>
      <c r="C52" s="31"/>
      <c r="D52" s="31"/>
      <c r="E52" s="31"/>
      <c r="F52" s="31"/>
      <c r="G52" s="31"/>
      <c r="H52" s="31"/>
      <c r="I52" s="31"/>
      <c r="J52" s="31"/>
      <c r="K52"/>
      <c r="L52"/>
      <c r="M52"/>
      <c r="N52"/>
      <c r="O52"/>
      <c r="P52"/>
      <c r="Q52"/>
      <c r="R52"/>
      <c r="S52"/>
      <c r="T52"/>
      <c r="U52"/>
    </row>
    <row r="53" spans="2:21" ht="15" customHeight="1" x14ac:dyDescent="0.25">
      <c r="B53" s="31"/>
      <c r="C53" s="31"/>
      <c r="D53" s="31"/>
      <c r="E53" s="31"/>
      <c r="F53" s="31"/>
      <c r="G53" s="31"/>
      <c r="H53" s="31"/>
      <c r="I53" s="31"/>
      <c r="J53" s="31"/>
      <c r="K53"/>
      <c r="L53"/>
      <c r="M53"/>
      <c r="N53"/>
      <c r="O53"/>
      <c r="P53"/>
      <c r="Q53"/>
      <c r="R53"/>
      <c r="S53"/>
      <c r="T53"/>
      <c r="U53"/>
    </row>
    <row r="54" spans="2:21" ht="15" customHeight="1" x14ac:dyDescent="0.25">
      <c r="B54" s="31"/>
      <c r="C54" s="31"/>
      <c r="D54" s="31"/>
      <c r="E54" s="31"/>
      <c r="F54" s="31"/>
      <c r="G54" s="31"/>
      <c r="H54" s="31"/>
      <c r="I54" s="31"/>
      <c r="J54" s="31"/>
      <c r="K54"/>
      <c r="L54"/>
      <c r="M54"/>
      <c r="N54"/>
      <c r="O54"/>
      <c r="P54"/>
      <c r="Q54"/>
      <c r="R54"/>
      <c r="S54"/>
      <c r="T54"/>
      <c r="U54"/>
    </row>
    <row r="55" spans="2:21" ht="15" customHeight="1" x14ac:dyDescent="0.25">
      <c r="B55" s="31"/>
      <c r="C55" s="31"/>
      <c r="D55" s="31"/>
      <c r="E55" s="31"/>
      <c r="F55" s="31"/>
      <c r="G55" s="31"/>
      <c r="H55" s="31"/>
      <c r="I55" s="31"/>
      <c r="J55" s="31"/>
      <c r="K55"/>
      <c r="L55"/>
      <c r="M55"/>
      <c r="N55"/>
      <c r="O55"/>
      <c r="P55"/>
      <c r="Q55"/>
      <c r="R55"/>
      <c r="S55"/>
      <c r="T55"/>
      <c r="U55"/>
    </row>
    <row r="56" spans="2:21" ht="15" customHeight="1" x14ac:dyDescent="0.25">
      <c r="B56" s="31"/>
      <c r="C56" s="31"/>
      <c r="D56" s="31"/>
      <c r="E56" s="31"/>
      <c r="F56" s="31"/>
      <c r="G56" s="31"/>
      <c r="H56" s="31"/>
      <c r="I56" s="31"/>
      <c r="J56" s="31"/>
      <c r="K56"/>
      <c r="L56"/>
      <c r="M56"/>
      <c r="N56"/>
      <c r="O56"/>
      <c r="P56"/>
      <c r="Q56"/>
      <c r="R56"/>
      <c r="S56"/>
      <c r="T56"/>
      <c r="U56"/>
    </row>
    <row r="57" spans="2:21" ht="15" customHeight="1" x14ac:dyDescent="0.25">
      <c r="B57" s="31"/>
      <c r="C57" s="31"/>
      <c r="D57" s="31"/>
      <c r="E57" s="31"/>
      <c r="F57" s="31"/>
      <c r="G57" s="31"/>
      <c r="H57" s="31"/>
      <c r="I57" s="31"/>
      <c r="J57" s="31"/>
      <c r="K57"/>
      <c r="L57"/>
      <c r="M57"/>
      <c r="N57"/>
      <c r="O57"/>
      <c r="P57"/>
      <c r="Q57"/>
      <c r="R57"/>
      <c r="S57"/>
      <c r="T57"/>
      <c r="U57"/>
    </row>
    <row r="58" spans="2:21" ht="15" customHeight="1" x14ac:dyDescent="0.25">
      <c r="B58" s="31"/>
      <c r="C58" s="31"/>
      <c r="D58" s="31"/>
      <c r="E58" s="31"/>
      <c r="F58" s="31"/>
      <c r="G58" s="31"/>
      <c r="H58" s="31"/>
      <c r="I58" s="31"/>
      <c r="J58" s="31"/>
      <c r="K58"/>
      <c r="L58"/>
      <c r="M58"/>
      <c r="N58"/>
      <c r="O58"/>
      <c r="P58"/>
      <c r="Q58"/>
      <c r="R58"/>
      <c r="S58"/>
      <c r="T58"/>
      <c r="U58"/>
    </row>
    <row r="59" spans="2:21" ht="15" customHeight="1" x14ac:dyDescent="0.25">
      <c r="B59" s="31"/>
      <c r="C59" s="31"/>
      <c r="D59" s="31"/>
      <c r="E59" s="31"/>
      <c r="F59" s="31"/>
      <c r="G59" s="31"/>
      <c r="H59" s="31"/>
      <c r="I59" s="31"/>
      <c r="J59" s="31"/>
      <c r="K59"/>
      <c r="L59"/>
      <c r="M59"/>
      <c r="N59"/>
      <c r="O59"/>
      <c r="P59"/>
      <c r="Q59"/>
      <c r="R59"/>
      <c r="S59"/>
      <c r="T59"/>
      <c r="U59"/>
    </row>
    <row r="60" spans="2:21" ht="15" customHeight="1" x14ac:dyDescent="0.25">
      <c r="B60" s="31"/>
      <c r="C60" s="31"/>
      <c r="D60" s="31"/>
      <c r="E60" s="31"/>
      <c r="F60" s="31"/>
      <c r="G60" s="31"/>
      <c r="H60" s="31"/>
      <c r="I60" s="31"/>
      <c r="J60" s="31"/>
      <c r="K60"/>
      <c r="L60"/>
      <c r="M60"/>
      <c r="N60"/>
      <c r="O60"/>
      <c r="P60"/>
      <c r="Q60"/>
      <c r="R60"/>
      <c r="S60"/>
      <c r="T60"/>
      <c r="U60"/>
    </row>
    <row r="61" spans="2:21" ht="15" customHeight="1" x14ac:dyDescent="0.25">
      <c r="B61" s="31"/>
      <c r="C61" s="31"/>
      <c r="D61" s="31"/>
      <c r="E61" s="31"/>
      <c r="F61" s="31"/>
      <c r="G61" s="31"/>
      <c r="H61" s="31"/>
      <c r="I61" s="31"/>
      <c r="J61" s="31"/>
      <c r="K61"/>
      <c r="L61"/>
      <c r="M61"/>
      <c r="N61"/>
      <c r="O61"/>
      <c r="P61"/>
      <c r="Q61"/>
      <c r="R61"/>
      <c r="S61"/>
      <c r="T61"/>
      <c r="U61"/>
    </row>
    <row r="62" spans="2:21" ht="15" customHeight="1" x14ac:dyDescent="0.25">
      <c r="B62" s="31"/>
      <c r="C62" s="31"/>
      <c r="D62" s="31"/>
      <c r="E62" s="31"/>
      <c r="F62" s="31"/>
      <c r="G62" s="31"/>
      <c r="H62" s="31"/>
      <c r="I62" s="31"/>
      <c r="J62" s="31"/>
      <c r="K62"/>
      <c r="L62"/>
      <c r="M62"/>
      <c r="N62"/>
      <c r="O62"/>
      <c r="P62"/>
      <c r="Q62"/>
      <c r="R62"/>
      <c r="S62"/>
      <c r="T62"/>
      <c r="U62"/>
    </row>
    <row r="63" spans="2:21" ht="15" customHeight="1" x14ac:dyDescent="0.25">
      <c r="B63" s="31"/>
      <c r="C63" s="31"/>
      <c r="D63" s="31"/>
      <c r="E63" s="31"/>
      <c r="F63" s="31"/>
      <c r="G63" s="31"/>
      <c r="H63" s="31"/>
      <c r="I63" s="31"/>
      <c r="J63" s="31"/>
      <c r="K63"/>
      <c r="L63"/>
      <c r="M63"/>
      <c r="N63"/>
      <c r="O63"/>
      <c r="P63"/>
      <c r="Q63"/>
      <c r="R63"/>
      <c r="S63"/>
      <c r="T63"/>
      <c r="U63"/>
    </row>
    <row r="64" spans="2:21" ht="15" customHeight="1" x14ac:dyDescent="0.25">
      <c r="B64" s="31"/>
      <c r="C64" s="31"/>
      <c r="D64" s="31"/>
      <c r="E64" s="31"/>
      <c r="F64" s="31"/>
      <c r="G64" s="31"/>
      <c r="H64" s="31"/>
      <c r="I64" s="31"/>
      <c r="J64" s="31"/>
      <c r="K64"/>
      <c r="L64"/>
      <c r="M64"/>
      <c r="N64"/>
      <c r="O64"/>
      <c r="P64"/>
      <c r="Q64"/>
      <c r="R64"/>
      <c r="S64"/>
      <c r="T64"/>
      <c r="U64"/>
    </row>
    <row r="65" spans="2:21" ht="15" customHeight="1" x14ac:dyDescent="0.25">
      <c r="B65" s="31"/>
      <c r="C65" s="31"/>
      <c r="D65" s="31"/>
      <c r="E65" s="31"/>
      <c r="F65" s="31"/>
      <c r="G65" s="31"/>
      <c r="H65" s="31"/>
      <c r="I65" s="31"/>
      <c r="J65" s="31"/>
      <c r="K65"/>
      <c r="L65"/>
      <c r="M65"/>
      <c r="N65"/>
      <c r="O65"/>
      <c r="P65"/>
      <c r="Q65"/>
      <c r="R65"/>
      <c r="S65"/>
      <c r="T65"/>
      <c r="U65"/>
    </row>
    <row r="66" spans="2:21" ht="15" customHeight="1" x14ac:dyDescent="0.25">
      <c r="B66" s="31"/>
      <c r="C66" s="31"/>
      <c r="D66" s="31"/>
      <c r="E66" s="31"/>
      <c r="F66" s="31"/>
      <c r="G66" s="31"/>
      <c r="H66" s="31"/>
      <c r="I66" s="31"/>
      <c r="J66" s="31"/>
      <c r="K66"/>
      <c r="L66"/>
      <c r="M66"/>
      <c r="N66"/>
      <c r="O66"/>
      <c r="P66"/>
      <c r="Q66"/>
      <c r="R66"/>
      <c r="S66"/>
      <c r="T66"/>
      <c r="U66"/>
    </row>
    <row r="67" spans="2:21" ht="15" customHeight="1" x14ac:dyDescent="0.25">
      <c r="B67" s="31"/>
      <c r="C67" s="31"/>
      <c r="D67" s="31"/>
      <c r="E67" s="31"/>
      <c r="F67" s="31"/>
      <c r="G67" s="31"/>
      <c r="H67" s="31"/>
      <c r="I67" s="31"/>
      <c r="J67" s="31"/>
      <c r="K67"/>
      <c r="L67"/>
      <c r="M67"/>
      <c r="N67"/>
      <c r="O67"/>
      <c r="P67"/>
      <c r="Q67"/>
      <c r="R67"/>
      <c r="S67"/>
      <c r="T67"/>
      <c r="U67"/>
    </row>
    <row r="68" spans="2:21" ht="15" customHeight="1" x14ac:dyDescent="0.25">
      <c r="B68" s="31"/>
      <c r="C68" s="31"/>
      <c r="D68" s="31"/>
      <c r="E68" s="31"/>
      <c r="F68" s="31"/>
      <c r="G68" s="31"/>
      <c r="H68" s="31"/>
      <c r="I68" s="31"/>
      <c r="J68" s="31"/>
      <c r="K68"/>
      <c r="L68"/>
      <c r="M68"/>
      <c r="N68"/>
      <c r="O68"/>
      <c r="P68"/>
      <c r="Q68"/>
      <c r="R68"/>
      <c r="S68"/>
      <c r="T68"/>
      <c r="U68"/>
    </row>
    <row r="69" spans="2:21" ht="15" customHeight="1" x14ac:dyDescent="0.25">
      <c r="B69" s="31"/>
      <c r="C69" s="31"/>
      <c r="D69" s="31"/>
      <c r="E69" s="31"/>
      <c r="F69" s="31"/>
      <c r="G69" s="31"/>
      <c r="H69" s="31"/>
      <c r="I69" s="31"/>
      <c r="J69" s="31"/>
      <c r="K69"/>
      <c r="L69"/>
      <c r="M69"/>
      <c r="N69"/>
      <c r="O69"/>
      <c r="P69"/>
      <c r="Q69"/>
      <c r="R69"/>
      <c r="S69"/>
      <c r="T69"/>
      <c r="U69"/>
    </row>
    <row r="70" spans="2:21" ht="15" customHeight="1" x14ac:dyDescent="0.25">
      <c r="B70" s="31"/>
      <c r="C70" s="31"/>
      <c r="D70" s="31"/>
      <c r="E70" s="31"/>
      <c r="F70" s="31"/>
      <c r="G70" s="31"/>
      <c r="H70" s="31"/>
      <c r="I70" s="31"/>
      <c r="J70" s="31"/>
      <c r="K70"/>
      <c r="L70"/>
      <c r="M70"/>
      <c r="N70"/>
      <c r="O70"/>
      <c r="P70"/>
      <c r="Q70"/>
      <c r="R70"/>
      <c r="S70"/>
      <c r="T70"/>
      <c r="U70"/>
    </row>
    <row r="71" spans="2:21" ht="15" customHeight="1" x14ac:dyDescent="0.25">
      <c r="B71" s="31"/>
      <c r="C71" s="31"/>
      <c r="D71" s="31"/>
      <c r="E71" s="31"/>
      <c r="F71" s="31"/>
      <c r="G71" s="31"/>
      <c r="H71" s="31"/>
      <c r="I71" s="31"/>
      <c r="J71" s="31"/>
      <c r="K71"/>
      <c r="L71"/>
      <c r="M71"/>
      <c r="N71"/>
      <c r="O71"/>
      <c r="P71"/>
      <c r="Q71"/>
      <c r="R71"/>
      <c r="S71"/>
      <c r="T71"/>
      <c r="U71"/>
    </row>
    <row r="72" spans="2:21" ht="15" customHeight="1" x14ac:dyDescent="0.25">
      <c r="B72" s="31"/>
      <c r="C72" s="31"/>
      <c r="D72" s="31"/>
      <c r="E72" s="31"/>
      <c r="F72" s="31"/>
      <c r="G72" s="31"/>
      <c r="H72" s="31"/>
      <c r="I72" s="31"/>
      <c r="J72" s="31"/>
      <c r="K72"/>
      <c r="L72"/>
      <c r="M72"/>
      <c r="N72"/>
      <c r="O72"/>
      <c r="P72"/>
      <c r="Q72"/>
      <c r="R72"/>
      <c r="S72"/>
      <c r="T72"/>
      <c r="U72"/>
    </row>
    <row r="73" spans="2:21" ht="15" customHeight="1" x14ac:dyDescent="0.25">
      <c r="B73" s="31"/>
      <c r="C73" s="31"/>
      <c r="D73" s="31"/>
      <c r="E73" s="31"/>
      <c r="F73" s="31"/>
      <c r="G73" s="31"/>
      <c r="H73" s="31"/>
      <c r="I73" s="31"/>
      <c r="J73" s="31"/>
      <c r="K73"/>
      <c r="L73"/>
      <c r="M73"/>
      <c r="N73"/>
      <c r="O73"/>
      <c r="P73"/>
      <c r="Q73"/>
      <c r="R73"/>
      <c r="S73"/>
      <c r="T73"/>
      <c r="U73"/>
    </row>
    <row r="74" spans="2:21" ht="15" customHeight="1" x14ac:dyDescent="0.25">
      <c r="B74" s="31"/>
      <c r="C74" s="31"/>
      <c r="D74" s="31"/>
      <c r="E74" s="31"/>
      <c r="F74" s="31"/>
      <c r="G74" s="31"/>
      <c r="H74" s="31"/>
      <c r="I74" s="31"/>
      <c r="J74" s="31"/>
      <c r="K74"/>
      <c r="L74"/>
      <c r="M74"/>
      <c r="N74"/>
      <c r="O74"/>
      <c r="P74"/>
      <c r="Q74"/>
      <c r="R74"/>
      <c r="S74"/>
      <c r="T74"/>
      <c r="U74"/>
    </row>
    <row r="75" spans="2:21" ht="15" customHeight="1" x14ac:dyDescent="0.25">
      <c r="B75" s="31"/>
      <c r="C75" s="31"/>
      <c r="D75" s="31"/>
      <c r="E75" s="31"/>
      <c r="F75" s="31"/>
      <c r="G75" s="31"/>
      <c r="H75" s="31"/>
      <c r="I75" s="31"/>
      <c r="J75" s="31"/>
      <c r="K75"/>
      <c r="L75"/>
      <c r="M75"/>
      <c r="N75"/>
      <c r="O75"/>
      <c r="P75"/>
      <c r="Q75"/>
      <c r="R75"/>
      <c r="S75"/>
      <c r="T75"/>
      <c r="U75"/>
    </row>
    <row r="76" spans="2:21" ht="15" customHeight="1" x14ac:dyDescent="0.25">
      <c r="B76" s="31"/>
      <c r="C76" s="31"/>
      <c r="D76" s="31"/>
      <c r="E76" s="31"/>
      <c r="F76" s="31"/>
      <c r="G76" s="31"/>
      <c r="H76" s="31"/>
      <c r="I76" s="31"/>
      <c r="J76" s="31"/>
      <c r="K76"/>
      <c r="L76"/>
      <c r="M76"/>
      <c r="N76"/>
      <c r="O76"/>
      <c r="P76"/>
      <c r="Q76"/>
      <c r="R76"/>
      <c r="S76"/>
      <c r="T76"/>
      <c r="U76"/>
    </row>
    <row r="77" spans="2:21" ht="15" customHeight="1" x14ac:dyDescent="0.25">
      <c r="B77" s="31"/>
      <c r="C77" s="31"/>
      <c r="D77" s="31"/>
      <c r="E77" s="31"/>
      <c r="F77" s="31"/>
      <c r="G77" s="31"/>
      <c r="H77" s="31"/>
      <c r="I77" s="31"/>
      <c r="J77" s="31"/>
      <c r="K77"/>
      <c r="L77"/>
      <c r="M77"/>
      <c r="N77"/>
      <c r="O77"/>
      <c r="P77"/>
      <c r="Q77"/>
      <c r="R77"/>
      <c r="S77"/>
      <c r="T77"/>
      <c r="U77"/>
    </row>
    <row r="78" spans="2:21" ht="15" customHeight="1" x14ac:dyDescent="0.25">
      <c r="B78" s="31"/>
      <c r="C78" s="31"/>
      <c r="D78" s="31"/>
      <c r="E78" s="31"/>
      <c r="F78" s="31"/>
      <c r="G78" s="31"/>
      <c r="H78" s="31"/>
      <c r="I78" s="31"/>
      <c r="J78" s="31"/>
      <c r="K78"/>
      <c r="L78"/>
      <c r="M78"/>
      <c r="N78"/>
      <c r="O78"/>
      <c r="P78"/>
      <c r="Q78"/>
      <c r="R78"/>
      <c r="S78"/>
      <c r="T78"/>
      <c r="U78"/>
    </row>
    <row r="79" spans="2:21" ht="15" customHeight="1" x14ac:dyDescent="0.25">
      <c r="B79" s="31"/>
      <c r="C79" s="31"/>
      <c r="D79" s="31"/>
      <c r="E79" s="31"/>
      <c r="F79" s="31"/>
      <c r="G79" s="31"/>
      <c r="H79" s="31"/>
      <c r="I79" s="31"/>
      <c r="J79" s="31"/>
      <c r="K79"/>
      <c r="L79"/>
      <c r="M79"/>
      <c r="N79"/>
      <c r="O79"/>
      <c r="P79"/>
      <c r="Q79"/>
      <c r="R79"/>
      <c r="S79"/>
      <c r="T79"/>
      <c r="U79"/>
    </row>
    <row r="80" spans="2:21" ht="15" customHeight="1" x14ac:dyDescent="0.25">
      <c r="B80" s="31"/>
      <c r="C80" s="31"/>
      <c r="D80" s="31"/>
      <c r="E80" s="31"/>
      <c r="F80" s="31"/>
      <c r="G80" s="31"/>
      <c r="H80" s="31"/>
      <c r="I80" s="31"/>
      <c r="J80" s="31"/>
      <c r="K80"/>
      <c r="L80"/>
      <c r="M80"/>
      <c r="N80"/>
      <c r="O80"/>
      <c r="P80"/>
      <c r="Q80"/>
      <c r="R80"/>
      <c r="S80"/>
      <c r="T80"/>
      <c r="U80"/>
    </row>
    <row r="81" spans="2:21" ht="15" customHeight="1" x14ac:dyDescent="0.25">
      <c r="B81" s="31"/>
      <c r="C81" s="31"/>
      <c r="D81" s="31"/>
      <c r="E81" s="31"/>
      <c r="F81" s="31"/>
      <c r="G81" s="31"/>
      <c r="H81" s="31"/>
      <c r="I81" s="31"/>
      <c r="J81" s="31"/>
      <c r="K81"/>
      <c r="L81"/>
      <c r="M81"/>
      <c r="N81"/>
      <c r="O81"/>
      <c r="P81"/>
      <c r="Q81"/>
      <c r="R81"/>
      <c r="S81"/>
      <c r="T81"/>
      <c r="U81"/>
    </row>
    <row r="82" spans="2:21" ht="15" customHeight="1" x14ac:dyDescent="0.25">
      <c r="B82" s="31"/>
      <c r="C82" s="31"/>
      <c r="D82" s="31"/>
      <c r="E82" s="31"/>
      <c r="F82" s="31"/>
      <c r="G82" s="31"/>
      <c r="H82" s="31"/>
      <c r="I82" s="31"/>
      <c r="J82" s="31"/>
      <c r="K82"/>
      <c r="L82"/>
      <c r="M82"/>
      <c r="N82"/>
      <c r="O82"/>
      <c r="P82"/>
      <c r="Q82"/>
      <c r="R82"/>
      <c r="S82"/>
      <c r="T82"/>
      <c r="U82"/>
    </row>
    <row r="83" spans="2:21" ht="15" customHeight="1" x14ac:dyDescent="0.25">
      <c r="B83" s="31"/>
      <c r="C83" s="31"/>
      <c r="D83" s="31"/>
      <c r="E83" s="31"/>
      <c r="F83" s="31"/>
      <c r="G83" s="31"/>
      <c r="H83" s="31"/>
      <c r="I83" s="31"/>
      <c r="J83" s="31"/>
      <c r="K83"/>
      <c r="L83"/>
      <c r="M83"/>
      <c r="N83"/>
      <c r="O83"/>
      <c r="P83"/>
      <c r="Q83"/>
      <c r="R83"/>
      <c r="S83"/>
      <c r="T83"/>
      <c r="U83"/>
    </row>
    <row r="84" spans="2:21" ht="15" customHeight="1" x14ac:dyDescent="0.25">
      <c r="B84" s="31"/>
      <c r="C84" s="31"/>
      <c r="D84" s="31"/>
      <c r="E84" s="31"/>
      <c r="F84" s="31"/>
      <c r="G84" s="31"/>
      <c r="H84" s="31"/>
      <c r="I84" s="31"/>
      <c r="J84" s="31"/>
      <c r="K84"/>
      <c r="L84"/>
      <c r="M84"/>
      <c r="N84"/>
      <c r="O84"/>
      <c r="P84"/>
      <c r="Q84"/>
      <c r="R84"/>
      <c r="S84"/>
      <c r="T84"/>
      <c r="U84"/>
    </row>
    <row r="85" spans="2:21" ht="15" customHeight="1" x14ac:dyDescent="0.25">
      <c r="B85" s="31"/>
      <c r="C85" s="31"/>
      <c r="D85" s="31"/>
      <c r="E85" s="31"/>
      <c r="F85" s="31"/>
      <c r="G85" s="31"/>
      <c r="H85" s="31"/>
      <c r="I85" s="31"/>
      <c r="J85" s="31"/>
      <c r="K85"/>
      <c r="L85"/>
      <c r="M85"/>
      <c r="N85"/>
      <c r="O85"/>
      <c r="P85"/>
      <c r="Q85"/>
      <c r="R85"/>
      <c r="S85"/>
      <c r="T85"/>
      <c r="U85"/>
    </row>
    <row r="86" spans="2:21" ht="15" customHeight="1" x14ac:dyDescent="0.25">
      <c r="B86" s="31"/>
      <c r="C86" s="31"/>
      <c r="D86" s="31"/>
      <c r="E86" s="31"/>
      <c r="F86" s="31"/>
      <c r="G86" s="31"/>
      <c r="H86" s="31"/>
      <c r="I86" s="31"/>
      <c r="J86" s="31"/>
      <c r="K86"/>
      <c r="L86"/>
      <c r="M86"/>
      <c r="N86"/>
      <c r="O86"/>
      <c r="P86"/>
      <c r="Q86"/>
      <c r="R86"/>
      <c r="S86"/>
      <c r="T86"/>
      <c r="U86"/>
    </row>
    <row r="87" spans="2:21" ht="15" customHeight="1" x14ac:dyDescent="0.25">
      <c r="B87" s="31"/>
      <c r="C87" s="31"/>
      <c r="D87" s="31"/>
      <c r="E87" s="31"/>
      <c r="F87" s="31"/>
      <c r="G87" s="31"/>
      <c r="H87" s="31"/>
      <c r="I87" s="31"/>
      <c r="J87" s="31"/>
      <c r="K87"/>
      <c r="L87"/>
      <c r="M87"/>
      <c r="N87"/>
      <c r="O87"/>
      <c r="P87"/>
      <c r="Q87"/>
      <c r="R87"/>
      <c r="S87"/>
      <c r="T87"/>
      <c r="U87"/>
    </row>
    <row r="88" spans="2:21" ht="15" customHeight="1" x14ac:dyDescent="0.25">
      <c r="B88" s="31"/>
      <c r="C88" s="31"/>
      <c r="D88" s="31"/>
      <c r="E88" s="31"/>
      <c r="F88" s="31"/>
      <c r="G88" s="31"/>
      <c r="H88" s="31"/>
      <c r="I88" s="31"/>
      <c r="J88" s="31"/>
      <c r="K88"/>
      <c r="L88"/>
      <c r="M88"/>
      <c r="N88"/>
      <c r="O88"/>
      <c r="P88"/>
      <c r="Q88"/>
      <c r="R88"/>
      <c r="S88"/>
      <c r="T88"/>
      <c r="U88"/>
    </row>
    <row r="89" spans="2:21" ht="15" customHeight="1" x14ac:dyDescent="0.25">
      <c r="B89" s="31"/>
      <c r="C89" s="31"/>
      <c r="D89" s="31"/>
      <c r="E89" s="31"/>
      <c r="F89" s="31"/>
      <c r="G89" s="31"/>
      <c r="H89" s="31"/>
      <c r="I89" s="31"/>
      <c r="J89" s="31"/>
      <c r="K89"/>
      <c r="L89"/>
      <c r="M89"/>
      <c r="N89"/>
      <c r="O89"/>
      <c r="P89"/>
      <c r="Q89"/>
      <c r="R89"/>
      <c r="S89"/>
      <c r="T89"/>
      <c r="U89"/>
    </row>
    <row r="90" spans="2:21" ht="15" customHeight="1" x14ac:dyDescent="0.25">
      <c r="B90" s="31"/>
      <c r="C90" s="31"/>
      <c r="D90" s="31"/>
      <c r="E90" s="31"/>
      <c r="F90" s="31"/>
      <c r="G90" s="31"/>
      <c r="H90" s="31"/>
      <c r="I90" s="31"/>
      <c r="J90" s="31"/>
      <c r="K90"/>
      <c r="L90"/>
      <c r="M90"/>
      <c r="N90"/>
      <c r="O90"/>
      <c r="P90"/>
      <c r="Q90"/>
      <c r="R90"/>
      <c r="S90"/>
      <c r="T90"/>
      <c r="U90"/>
    </row>
    <row r="91" spans="2:21" ht="15" customHeight="1" x14ac:dyDescent="0.25">
      <c r="B91" s="31"/>
      <c r="C91" s="31"/>
      <c r="D91" s="31"/>
      <c r="E91" s="31"/>
      <c r="F91" s="31"/>
      <c r="G91" s="31"/>
      <c r="H91" s="31"/>
      <c r="I91" s="31"/>
      <c r="J91" s="31"/>
      <c r="K91"/>
      <c r="L91"/>
      <c r="M91"/>
      <c r="N91"/>
      <c r="O91"/>
      <c r="P91"/>
      <c r="Q91"/>
      <c r="R91"/>
      <c r="S91"/>
      <c r="T91"/>
      <c r="U91"/>
    </row>
    <row r="92" spans="2:21" ht="15" customHeight="1" x14ac:dyDescent="0.25">
      <c r="B92" s="31"/>
      <c r="C92" s="31"/>
      <c r="D92" s="31"/>
      <c r="E92" s="31"/>
      <c r="F92" s="31"/>
      <c r="G92" s="31"/>
      <c r="H92" s="31"/>
      <c r="I92" s="31"/>
      <c r="J92" s="31"/>
      <c r="K92"/>
      <c r="L92"/>
      <c r="M92"/>
      <c r="N92"/>
      <c r="O92"/>
      <c r="P92"/>
      <c r="Q92"/>
      <c r="R92"/>
      <c r="S92"/>
      <c r="T92"/>
      <c r="U92"/>
    </row>
    <row r="93" spans="2:21" ht="15" customHeight="1" x14ac:dyDescent="0.25">
      <c r="B93" s="31"/>
      <c r="C93" s="31"/>
      <c r="D93" s="31"/>
      <c r="E93" s="31"/>
      <c r="F93" s="31"/>
      <c r="G93" s="31"/>
      <c r="H93" s="31"/>
      <c r="I93" s="31"/>
      <c r="J93" s="31"/>
      <c r="K93"/>
      <c r="L93"/>
      <c r="M93"/>
      <c r="N93"/>
      <c r="O93"/>
      <c r="P93"/>
      <c r="Q93"/>
      <c r="R93"/>
      <c r="S93"/>
      <c r="T93"/>
      <c r="U93"/>
    </row>
    <row r="94" spans="2:21" ht="15" customHeight="1" x14ac:dyDescent="0.25">
      <c r="B94" s="31"/>
      <c r="C94" s="31"/>
      <c r="D94" s="31"/>
      <c r="E94" s="31"/>
      <c r="F94" s="31"/>
      <c r="G94" s="31"/>
      <c r="H94" s="31"/>
      <c r="I94" s="31"/>
      <c r="J94" s="31"/>
      <c r="K94"/>
      <c r="L94"/>
      <c r="M94"/>
      <c r="N94"/>
      <c r="O94"/>
      <c r="P94"/>
      <c r="Q94"/>
      <c r="R94"/>
      <c r="S94"/>
      <c r="T94"/>
      <c r="U94"/>
    </row>
    <row r="95" spans="2:21" ht="15" customHeight="1" x14ac:dyDescent="0.25">
      <c r="B95" s="31"/>
      <c r="C95" s="31"/>
      <c r="D95" s="31"/>
      <c r="E95" s="31"/>
      <c r="F95" s="31"/>
      <c r="G95" s="31"/>
      <c r="H95" s="31"/>
      <c r="I95" s="31"/>
      <c r="J95" s="31"/>
      <c r="K95"/>
      <c r="L95"/>
      <c r="M95"/>
      <c r="N95"/>
      <c r="O95"/>
      <c r="P95"/>
      <c r="Q95"/>
      <c r="R95"/>
      <c r="S95"/>
      <c r="T95"/>
      <c r="U95"/>
    </row>
    <row r="96" spans="2:21" ht="15" customHeight="1" x14ac:dyDescent="0.25">
      <c r="B96" s="31"/>
      <c r="C96" s="31"/>
      <c r="D96" s="31"/>
      <c r="E96" s="31"/>
      <c r="F96" s="31"/>
      <c r="G96" s="31"/>
      <c r="H96" s="31"/>
      <c r="I96" s="31"/>
      <c r="J96" s="31"/>
      <c r="K96"/>
      <c r="L96"/>
      <c r="M96"/>
      <c r="N96"/>
      <c r="O96"/>
      <c r="P96"/>
      <c r="Q96"/>
      <c r="R96"/>
      <c r="S96"/>
      <c r="T96"/>
      <c r="U96"/>
    </row>
    <row r="97" spans="2:21" ht="15" customHeight="1" x14ac:dyDescent="0.25">
      <c r="B97" s="31"/>
      <c r="C97" s="31"/>
      <c r="D97" s="31"/>
      <c r="E97" s="31"/>
      <c r="F97" s="31"/>
      <c r="G97" s="31"/>
      <c r="H97" s="31"/>
      <c r="I97" s="31"/>
      <c r="J97" s="31"/>
      <c r="K97"/>
      <c r="L97"/>
      <c r="M97"/>
      <c r="N97"/>
      <c r="O97"/>
      <c r="P97"/>
      <c r="Q97"/>
      <c r="R97"/>
      <c r="S97"/>
      <c r="T97"/>
      <c r="U97"/>
    </row>
    <row r="98" spans="2:21" ht="15" customHeight="1" x14ac:dyDescent="0.25">
      <c r="B98" s="31"/>
      <c r="C98" s="31"/>
      <c r="D98" s="31"/>
      <c r="E98" s="31"/>
      <c r="F98" s="31"/>
      <c r="G98" s="31"/>
      <c r="H98" s="31"/>
      <c r="I98" s="31"/>
      <c r="J98" s="31"/>
      <c r="K98"/>
      <c r="L98"/>
      <c r="M98"/>
      <c r="N98"/>
      <c r="O98"/>
      <c r="P98"/>
      <c r="Q98"/>
      <c r="R98"/>
      <c r="S98"/>
      <c r="T98"/>
      <c r="U98"/>
    </row>
    <row r="99" spans="2:21" ht="15" customHeight="1" x14ac:dyDescent="0.25">
      <c r="B99" s="31"/>
      <c r="C99" s="31"/>
      <c r="D99" s="31"/>
      <c r="E99" s="31"/>
      <c r="F99" s="31"/>
      <c r="G99" s="31"/>
      <c r="H99" s="31"/>
      <c r="I99" s="31"/>
      <c r="J99" s="31"/>
      <c r="K99"/>
      <c r="L99"/>
      <c r="M99"/>
      <c r="N99"/>
      <c r="O99"/>
      <c r="P99"/>
      <c r="Q99"/>
      <c r="R99"/>
      <c r="S99"/>
      <c r="T99"/>
      <c r="U99"/>
    </row>
    <row r="100" spans="2:21" ht="15" customHeight="1" x14ac:dyDescent="0.25">
      <c r="B100" s="31"/>
      <c r="C100" s="31"/>
      <c r="D100" s="31"/>
      <c r="E100" s="31"/>
      <c r="F100" s="31"/>
      <c r="G100" s="31"/>
      <c r="H100" s="31"/>
      <c r="I100" s="31"/>
      <c r="J100" s="31"/>
      <c r="K100"/>
      <c r="L100"/>
      <c r="M100"/>
      <c r="N100"/>
      <c r="O100"/>
      <c r="P100"/>
      <c r="Q100"/>
      <c r="R100"/>
      <c r="S100"/>
      <c r="T100"/>
      <c r="U100"/>
    </row>
    <row r="101" spans="2:21" ht="15" customHeight="1" x14ac:dyDescent="0.25">
      <c r="B101" s="31"/>
      <c r="C101" s="31"/>
      <c r="D101" s="31"/>
      <c r="E101" s="31"/>
      <c r="F101" s="31"/>
      <c r="G101" s="31"/>
      <c r="H101" s="31"/>
      <c r="I101" s="31"/>
      <c r="J101" s="31"/>
      <c r="K101"/>
      <c r="L101"/>
      <c r="M101"/>
      <c r="N101"/>
      <c r="O101"/>
      <c r="P101"/>
      <c r="Q101"/>
      <c r="R101"/>
      <c r="S101"/>
      <c r="T101"/>
      <c r="U101"/>
    </row>
  </sheetData>
  <mergeCells count="1">
    <mergeCell ref="H1:I1"/>
  </mergeCells>
  <conditionalFormatting sqref="B1">
    <cfRule type="cellIs" dxfId="62" priority="1" operator="equal">
      <formula>"Incomplete"</formula>
    </cfRule>
    <cfRule type="cellIs" dxfId="61" priority="2" operator="equal">
      <formula>"Flag for Review"</formula>
    </cfRule>
    <cfRule type="cellIs" dxfId="60" priority="3" operator="equal">
      <formula>"Finished"</formula>
    </cfRule>
  </conditionalFormatting>
  <dataValidations count="1">
    <dataValidation type="list" allowBlank="1" showInputMessage="1" showErrorMessage="1" sqref="B1">
      <formula1>"Finished, Flag for Review, Incomplete"</formula1>
    </dataValidation>
  </dataValidations>
  <hyperlinks>
    <hyperlink ref="H1" location="'Point Grid'!A8" display="Return to Point Grid"/>
    <hyperlink ref="H1:I1" location="'Point Grid'!A1" display="Return to Point Grid"/>
  </hyperlink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U101"/>
  <sheetViews>
    <sheetView zoomScaleNormal="100" workbookViewId="0"/>
  </sheetViews>
  <sheetFormatPr defaultColWidth="9.140625" defaultRowHeight="15" x14ac:dyDescent="0.25"/>
  <cols>
    <col min="1" max="1" width="9.140625" style="21"/>
    <col min="2" max="2" width="16" style="21" bestFit="1" customWidth="1"/>
    <col min="3" max="9" width="11.140625" style="21" customWidth="1"/>
    <col min="10" max="17" width="9.140625" style="21"/>
    <col min="18" max="18" width="9.7109375" style="21" customWidth="1"/>
    <col min="19" max="16384" width="9.140625" style="21"/>
  </cols>
  <sheetData>
    <row r="1" spans="1:21" x14ac:dyDescent="0.25">
      <c r="A1" s="7">
        <v>11</v>
      </c>
      <c r="B1" s="27" t="s">
        <v>12</v>
      </c>
      <c r="C1" s="20"/>
      <c r="D1" s="20"/>
      <c r="E1" s="20"/>
      <c r="F1" s="20"/>
      <c r="G1" s="20"/>
      <c r="H1" s="384" t="s">
        <v>24</v>
      </c>
      <c r="I1" s="385"/>
      <c r="K1"/>
      <c r="L1"/>
      <c r="M1"/>
      <c r="N1"/>
      <c r="O1"/>
      <c r="P1"/>
      <c r="Q1"/>
      <c r="R1"/>
      <c r="S1"/>
      <c r="T1"/>
      <c r="U1"/>
    </row>
    <row r="2" spans="1:21" x14ac:dyDescent="0.25">
      <c r="A2" s="22"/>
      <c r="B2" s="19"/>
      <c r="C2" s="19"/>
      <c r="D2" s="19"/>
      <c r="E2" s="19"/>
      <c r="F2" s="19"/>
      <c r="G2" s="19"/>
      <c r="H2" s="19"/>
      <c r="I2" s="23"/>
      <c r="K2"/>
      <c r="L2"/>
      <c r="M2"/>
      <c r="N2"/>
      <c r="O2"/>
      <c r="P2"/>
      <c r="Q2"/>
      <c r="R2"/>
      <c r="S2"/>
      <c r="T2"/>
      <c r="U2"/>
    </row>
    <row r="3" spans="1:21" x14ac:dyDescent="0.25">
      <c r="A3" s="8" t="s">
        <v>13</v>
      </c>
      <c r="B3" s="17"/>
      <c r="C3" s="17"/>
      <c r="D3" s="17"/>
      <c r="E3" s="17"/>
      <c r="F3" s="17"/>
      <c r="G3" s="17"/>
      <c r="H3" s="17"/>
      <c r="I3" s="18"/>
      <c r="J3" s="31"/>
      <c r="K3"/>
      <c r="L3"/>
      <c r="M3"/>
      <c r="N3"/>
      <c r="O3"/>
      <c r="P3"/>
      <c r="Q3"/>
      <c r="R3"/>
      <c r="S3"/>
      <c r="T3"/>
      <c r="U3"/>
    </row>
    <row r="4" spans="1:21" x14ac:dyDescent="0.25">
      <c r="A4" s="9">
        <f>INDEX('Point Grid'!B:B,MATCH(A1,'Point Grid'!A:A,0))</f>
        <v>1.5</v>
      </c>
      <c r="B4" s="17"/>
      <c r="C4" s="17"/>
      <c r="D4" s="17"/>
      <c r="E4" s="17"/>
      <c r="F4" s="17"/>
      <c r="G4" s="17"/>
      <c r="H4" s="17"/>
      <c r="I4" s="18"/>
      <c r="J4" s="31"/>
      <c r="K4"/>
      <c r="L4"/>
      <c r="M4"/>
      <c r="N4"/>
      <c r="O4"/>
      <c r="P4"/>
      <c r="Q4"/>
      <c r="R4"/>
      <c r="S4"/>
      <c r="T4"/>
      <c r="U4"/>
    </row>
    <row r="5" spans="1:21" x14ac:dyDescent="0.25">
      <c r="A5" s="16"/>
      <c r="B5" s="17"/>
      <c r="C5" s="17"/>
      <c r="D5" s="17"/>
      <c r="E5" s="17"/>
      <c r="F5" s="17"/>
      <c r="G5" s="17"/>
      <c r="H5" s="17"/>
      <c r="I5" s="18"/>
      <c r="J5" s="31"/>
      <c r="K5"/>
      <c r="L5"/>
      <c r="M5"/>
      <c r="N5"/>
      <c r="O5"/>
      <c r="P5"/>
      <c r="Q5"/>
      <c r="R5"/>
      <c r="S5"/>
      <c r="T5"/>
      <c r="U5"/>
    </row>
    <row r="6" spans="1:21" x14ac:dyDescent="0.25">
      <c r="A6" s="25" t="s">
        <v>2</v>
      </c>
      <c r="B6" s="17" t="s">
        <v>96</v>
      </c>
      <c r="C6" s="17"/>
      <c r="D6" s="17"/>
      <c r="E6" s="17"/>
      <c r="F6" s="17"/>
      <c r="G6" s="17"/>
      <c r="H6" s="17"/>
      <c r="I6" s="18"/>
      <c r="J6" s="31"/>
      <c r="K6"/>
      <c r="L6"/>
      <c r="M6"/>
      <c r="N6"/>
      <c r="O6"/>
      <c r="P6"/>
      <c r="Q6"/>
      <c r="R6"/>
      <c r="S6"/>
      <c r="T6"/>
      <c r="U6"/>
    </row>
    <row r="7" spans="1:21" ht="15.75" thickBot="1" x14ac:dyDescent="0.3">
      <c r="A7" s="9">
        <f>INDEX('Point Grid'!$C$8:$I$54,MATCH($A$1,'Point Grid'!$A$8:$A$54,0),MATCH(A6,'Point Grid'!$C$7:$I$7,0))</f>
        <v>1</v>
      </c>
      <c r="B7" s="17"/>
      <c r="C7" s="17"/>
      <c r="D7" s="17"/>
      <c r="E7" s="17"/>
      <c r="F7" s="17"/>
      <c r="G7" s="17"/>
      <c r="H7" s="17"/>
      <c r="I7" s="18"/>
      <c r="J7" s="31"/>
      <c r="K7"/>
      <c r="L7"/>
      <c r="M7"/>
      <c r="N7"/>
      <c r="O7"/>
      <c r="P7"/>
      <c r="Q7"/>
      <c r="R7"/>
      <c r="S7"/>
      <c r="T7"/>
      <c r="U7"/>
    </row>
    <row r="8" spans="1:21" ht="15.75" thickBot="1" x14ac:dyDescent="0.3">
      <c r="A8" s="5"/>
      <c r="B8" s="17"/>
      <c r="C8" s="92" t="s">
        <v>97</v>
      </c>
      <c r="D8" s="93"/>
      <c r="E8" s="94"/>
      <c r="F8" s="108"/>
      <c r="G8" s="109"/>
      <c r="H8" s="95">
        <v>441000</v>
      </c>
      <c r="I8" s="18"/>
      <c r="J8" s="31"/>
      <c r="K8"/>
      <c r="L8"/>
      <c r="M8"/>
      <c r="N8"/>
      <c r="O8"/>
      <c r="P8"/>
      <c r="Q8"/>
      <c r="R8"/>
      <c r="S8"/>
      <c r="T8"/>
      <c r="U8"/>
    </row>
    <row r="9" spans="1:21" x14ac:dyDescent="0.25">
      <c r="A9" s="25"/>
      <c r="B9" s="17"/>
      <c r="C9" s="97" t="s">
        <v>98</v>
      </c>
      <c r="D9" s="98"/>
      <c r="E9" s="99"/>
      <c r="F9" s="101"/>
      <c r="G9" s="102"/>
      <c r="H9" s="100">
        <v>339570</v>
      </c>
      <c r="I9" s="18"/>
      <c r="J9" s="31"/>
      <c r="K9"/>
      <c r="L9"/>
      <c r="M9"/>
      <c r="N9"/>
      <c r="O9"/>
      <c r="P9"/>
      <c r="Q9"/>
      <c r="R9"/>
      <c r="S9"/>
      <c r="T9"/>
      <c r="U9"/>
    </row>
    <row r="10" spans="1:21" x14ac:dyDescent="0.25">
      <c r="A10" s="25"/>
      <c r="B10" s="17"/>
      <c r="C10" s="104" t="s">
        <v>99</v>
      </c>
      <c r="D10" s="105"/>
      <c r="E10" s="105"/>
      <c r="F10" s="110"/>
      <c r="G10" s="111"/>
      <c r="H10" s="112">
        <v>13671</v>
      </c>
      <c r="I10" s="18"/>
      <c r="J10" s="31"/>
      <c r="K10"/>
      <c r="L10"/>
      <c r="M10"/>
      <c r="N10"/>
      <c r="O10"/>
      <c r="P10"/>
      <c r="Q10"/>
      <c r="R10"/>
      <c r="S10"/>
      <c r="T10"/>
      <c r="U10"/>
    </row>
    <row r="11" spans="1:21" x14ac:dyDescent="0.25">
      <c r="A11" s="25"/>
      <c r="B11" s="17"/>
      <c r="C11" s="97" t="s">
        <v>92</v>
      </c>
      <c r="D11" s="98"/>
      <c r="E11" s="98"/>
      <c r="F11" s="101"/>
      <c r="G11" s="102"/>
      <c r="H11" s="113">
        <v>0.2</v>
      </c>
      <c r="I11" s="18"/>
      <c r="J11" s="31"/>
      <c r="K11"/>
      <c r="L11"/>
      <c r="M11"/>
      <c r="N11"/>
      <c r="O11"/>
      <c r="P11"/>
      <c r="Q11"/>
      <c r="R11"/>
      <c r="S11"/>
      <c r="T11"/>
      <c r="U11"/>
    </row>
    <row r="12" spans="1:21" x14ac:dyDescent="0.25">
      <c r="A12" s="25"/>
      <c r="B12" s="17"/>
      <c r="C12" s="104" t="s">
        <v>94</v>
      </c>
      <c r="D12" s="105"/>
      <c r="E12" s="105"/>
      <c r="F12" s="110"/>
      <c r="G12" s="111"/>
      <c r="H12" s="107">
        <v>0.04</v>
      </c>
      <c r="I12" s="18"/>
      <c r="J12" s="31"/>
      <c r="K12"/>
      <c r="L12"/>
      <c r="M12"/>
      <c r="N12"/>
      <c r="O12"/>
      <c r="P12"/>
      <c r="Q12"/>
      <c r="R12"/>
      <c r="S12"/>
      <c r="T12"/>
      <c r="U12"/>
    </row>
    <row r="13" spans="1:21" x14ac:dyDescent="0.25">
      <c r="A13" s="25"/>
      <c r="B13" s="17"/>
      <c r="C13" s="28"/>
      <c r="D13" s="28"/>
      <c r="E13" s="28"/>
      <c r="F13" s="28"/>
      <c r="G13" s="28"/>
      <c r="H13" s="28"/>
      <c r="I13" s="18"/>
      <c r="J13" s="31"/>
      <c r="K13"/>
      <c r="L13"/>
      <c r="M13"/>
      <c r="N13"/>
      <c r="O13"/>
      <c r="P13"/>
      <c r="Q13"/>
      <c r="R13"/>
      <c r="S13"/>
      <c r="T13"/>
      <c r="U13"/>
    </row>
    <row r="14" spans="1:21" x14ac:dyDescent="0.25">
      <c r="A14" s="25" t="s">
        <v>3</v>
      </c>
      <c r="B14" s="17" t="s">
        <v>100</v>
      </c>
      <c r="C14" s="28"/>
      <c r="D14" s="28"/>
      <c r="E14" s="28"/>
      <c r="F14" s="28"/>
      <c r="G14" s="28"/>
      <c r="H14" s="28"/>
      <c r="I14" s="18"/>
      <c r="J14" s="31"/>
      <c r="K14"/>
      <c r="L14"/>
      <c r="M14"/>
      <c r="N14"/>
      <c r="O14"/>
      <c r="P14"/>
      <c r="Q14"/>
      <c r="R14"/>
      <c r="S14"/>
      <c r="T14"/>
      <c r="U14"/>
    </row>
    <row r="15" spans="1:21" ht="15.75" thickBot="1" x14ac:dyDescent="0.3">
      <c r="A15" s="9">
        <f>INDEX('Point Grid'!$C$8:$I$54,MATCH($A$1,'Point Grid'!$A$8:$A$54,0),MATCH(A14,'Point Grid'!$C$7:$I$7,0))</f>
        <v>0.5</v>
      </c>
      <c r="B15" s="17" t="s">
        <v>101</v>
      </c>
      <c r="C15" s="28"/>
      <c r="D15" s="28"/>
      <c r="E15" s="28"/>
      <c r="F15" s="28"/>
      <c r="G15" s="28"/>
      <c r="H15" s="28"/>
      <c r="I15" s="18"/>
      <c r="J15" s="31"/>
      <c r="K15"/>
      <c r="L15"/>
      <c r="M15"/>
      <c r="N15"/>
      <c r="O15"/>
      <c r="P15"/>
      <c r="Q15"/>
      <c r="R15"/>
      <c r="S15"/>
      <c r="T15"/>
      <c r="U15"/>
    </row>
    <row r="16" spans="1:21" ht="15.75" thickBot="1" x14ac:dyDescent="0.3">
      <c r="A16" s="5"/>
      <c r="B16" s="17" t="s">
        <v>102</v>
      </c>
      <c r="C16" s="28"/>
      <c r="D16" s="28"/>
      <c r="E16" s="28"/>
      <c r="F16" s="28"/>
      <c r="G16" s="28"/>
      <c r="H16" s="28"/>
      <c r="I16" s="18"/>
      <c r="J16" s="31"/>
      <c r="K16"/>
      <c r="L16"/>
      <c r="M16"/>
      <c r="N16"/>
      <c r="O16"/>
      <c r="P16"/>
      <c r="Q16"/>
      <c r="R16"/>
      <c r="S16"/>
      <c r="T16"/>
      <c r="U16"/>
    </row>
    <row r="17" spans="1:21" x14ac:dyDescent="0.25">
      <c r="A17" s="25"/>
      <c r="B17" s="17"/>
      <c r="C17" s="28"/>
      <c r="D17" s="28"/>
      <c r="E17" s="28"/>
      <c r="F17" s="28"/>
      <c r="G17" s="28"/>
      <c r="H17" s="28"/>
      <c r="I17" s="18"/>
      <c r="J17" s="31"/>
      <c r="K17"/>
      <c r="L17"/>
      <c r="M17"/>
      <c r="N17"/>
      <c r="O17"/>
      <c r="P17"/>
      <c r="Q17"/>
      <c r="R17"/>
      <c r="S17"/>
      <c r="T17"/>
      <c r="U17"/>
    </row>
    <row r="18" spans="1:21" ht="15" customHeight="1" x14ac:dyDescent="0.25">
      <c r="A18" s="25"/>
      <c r="B18" s="17"/>
      <c r="C18" s="28"/>
      <c r="D18" s="28"/>
      <c r="E18" s="28"/>
      <c r="F18" s="28"/>
      <c r="G18" s="28"/>
      <c r="H18" s="28"/>
      <c r="I18" s="18"/>
      <c r="J18" s="31"/>
      <c r="K18"/>
      <c r="L18"/>
      <c r="M18"/>
      <c r="N18"/>
      <c r="O18"/>
      <c r="P18"/>
      <c r="Q18"/>
      <c r="R18"/>
      <c r="S18"/>
      <c r="T18"/>
      <c r="U18"/>
    </row>
    <row r="19" spans="1:21" ht="15" customHeight="1" x14ac:dyDescent="0.25">
      <c r="A19" s="25"/>
      <c r="B19" s="17"/>
      <c r="C19" s="28"/>
      <c r="D19" s="28"/>
      <c r="E19" s="28"/>
      <c r="F19" s="28"/>
      <c r="G19" s="28"/>
      <c r="H19" s="28"/>
      <c r="I19" s="18"/>
      <c r="J19" s="31"/>
      <c r="K19"/>
      <c r="L19"/>
      <c r="M19"/>
      <c r="N19"/>
      <c r="O19"/>
      <c r="P19"/>
      <c r="Q19"/>
      <c r="R19"/>
      <c r="S19"/>
      <c r="T19"/>
      <c r="U19"/>
    </row>
    <row r="20" spans="1:21" ht="15" customHeight="1" x14ac:dyDescent="0.25">
      <c r="A20" s="25"/>
      <c r="B20" s="17"/>
      <c r="C20" s="28"/>
      <c r="D20" s="28"/>
      <c r="E20" s="28"/>
      <c r="F20" s="28"/>
      <c r="G20" s="28"/>
      <c r="H20" s="28"/>
      <c r="I20" s="18"/>
      <c r="J20" s="31"/>
      <c r="K20"/>
      <c r="L20"/>
      <c r="M20"/>
      <c r="N20"/>
      <c r="O20"/>
      <c r="P20"/>
      <c r="Q20"/>
      <c r="R20"/>
      <c r="S20"/>
      <c r="T20"/>
      <c r="U20"/>
    </row>
    <row r="21" spans="1:21" ht="15" customHeight="1" x14ac:dyDescent="0.25">
      <c r="A21" s="25"/>
      <c r="B21" s="17"/>
      <c r="C21" s="28"/>
      <c r="D21" s="28"/>
      <c r="E21" s="28"/>
      <c r="F21" s="28"/>
      <c r="G21" s="28"/>
      <c r="H21" s="28"/>
      <c r="I21" s="18"/>
      <c r="J21" s="31"/>
      <c r="K21"/>
      <c r="L21"/>
      <c r="M21"/>
      <c r="N21"/>
      <c r="O21"/>
      <c r="P21"/>
      <c r="Q21"/>
      <c r="R21"/>
      <c r="S21"/>
      <c r="T21"/>
      <c r="U21"/>
    </row>
    <row r="22" spans="1:21" ht="15" customHeight="1" x14ac:dyDescent="0.25">
      <c r="A22" s="25"/>
      <c r="B22" s="17"/>
      <c r="C22" s="28"/>
      <c r="D22" s="28"/>
      <c r="E22" s="28"/>
      <c r="F22" s="28"/>
      <c r="G22" s="28"/>
      <c r="H22" s="28"/>
      <c r="I22" s="18"/>
      <c r="J22" s="31"/>
      <c r="K22"/>
      <c r="L22"/>
      <c r="M22"/>
      <c r="N22"/>
      <c r="O22"/>
      <c r="P22"/>
      <c r="Q22"/>
      <c r="R22"/>
      <c r="S22"/>
      <c r="T22"/>
      <c r="U22"/>
    </row>
    <row r="23" spans="1:21" ht="15" customHeight="1" x14ac:dyDescent="0.25">
      <c r="A23" s="25"/>
      <c r="B23" s="17"/>
      <c r="C23" s="28"/>
      <c r="D23" s="28"/>
      <c r="E23" s="28"/>
      <c r="F23" s="28"/>
      <c r="G23" s="28"/>
      <c r="H23" s="28"/>
      <c r="I23" s="18"/>
      <c r="J23" s="31"/>
      <c r="K23"/>
      <c r="L23"/>
      <c r="M23"/>
      <c r="N23"/>
      <c r="O23"/>
      <c r="P23"/>
      <c r="Q23"/>
      <c r="R23"/>
      <c r="S23"/>
      <c r="T23"/>
      <c r="U23"/>
    </row>
    <row r="24" spans="1:21" ht="15" customHeight="1" x14ac:dyDescent="0.25">
      <c r="A24" s="25"/>
      <c r="B24" s="17"/>
      <c r="C24" s="28"/>
      <c r="D24" s="28"/>
      <c r="E24" s="28"/>
      <c r="F24" s="28"/>
      <c r="G24" s="28"/>
      <c r="H24" s="28"/>
      <c r="I24" s="18"/>
      <c r="J24" s="31"/>
      <c r="K24"/>
      <c r="L24"/>
      <c r="M24"/>
      <c r="N24"/>
      <c r="O24"/>
      <c r="P24"/>
      <c r="Q24"/>
      <c r="R24"/>
      <c r="S24"/>
      <c r="T24"/>
      <c r="U24"/>
    </row>
    <row r="25" spans="1:21" ht="15" customHeight="1" x14ac:dyDescent="0.25">
      <c r="A25" s="25"/>
      <c r="B25" s="17"/>
      <c r="C25" s="28"/>
      <c r="D25" s="28"/>
      <c r="E25" s="28"/>
      <c r="F25" s="28"/>
      <c r="G25" s="28"/>
      <c r="H25" s="28"/>
      <c r="I25" s="18"/>
      <c r="J25" s="31"/>
      <c r="K25"/>
      <c r="L25"/>
      <c r="M25"/>
      <c r="N25"/>
      <c r="O25"/>
      <c r="P25"/>
      <c r="Q25"/>
      <c r="R25"/>
      <c r="S25"/>
      <c r="T25"/>
      <c r="U25"/>
    </row>
    <row r="26" spans="1:21" ht="15" customHeight="1" x14ac:dyDescent="0.25">
      <c r="A26" s="25"/>
      <c r="B26" s="17"/>
      <c r="C26" s="28"/>
      <c r="D26" s="28"/>
      <c r="E26" s="28"/>
      <c r="F26" s="28"/>
      <c r="G26" s="28"/>
      <c r="H26" s="28"/>
      <c r="I26" s="18"/>
      <c r="J26" s="31"/>
      <c r="K26"/>
      <c r="L26"/>
      <c r="M26"/>
      <c r="N26"/>
      <c r="O26"/>
      <c r="P26"/>
      <c r="Q26"/>
      <c r="R26"/>
      <c r="S26"/>
      <c r="T26"/>
      <c r="U26"/>
    </row>
    <row r="27" spans="1:21" ht="15" customHeight="1" x14ac:dyDescent="0.25">
      <c r="A27" s="25"/>
      <c r="B27" s="17"/>
      <c r="C27" s="28"/>
      <c r="D27" s="28"/>
      <c r="E27" s="28"/>
      <c r="F27" s="28"/>
      <c r="G27" s="28"/>
      <c r="H27" s="28"/>
      <c r="I27" s="18"/>
      <c r="J27" s="31"/>
      <c r="K27"/>
      <c r="L27"/>
      <c r="M27"/>
      <c r="N27"/>
      <c r="O27"/>
      <c r="P27"/>
      <c r="Q27"/>
      <c r="R27"/>
      <c r="S27"/>
      <c r="T27"/>
      <c r="U27"/>
    </row>
    <row r="28" spans="1:21" ht="15" customHeight="1" x14ac:dyDescent="0.25">
      <c r="A28" s="25"/>
      <c r="B28" s="17"/>
      <c r="C28" s="28"/>
      <c r="D28" s="28"/>
      <c r="E28" s="28"/>
      <c r="F28" s="28"/>
      <c r="G28" s="28"/>
      <c r="H28" s="28"/>
      <c r="I28" s="18"/>
      <c r="J28" s="31"/>
      <c r="K28"/>
      <c r="L28"/>
      <c r="M28"/>
      <c r="N28"/>
      <c r="O28"/>
      <c r="P28"/>
      <c r="Q28"/>
      <c r="R28"/>
      <c r="S28"/>
      <c r="T28"/>
      <c r="U28"/>
    </row>
    <row r="29" spans="1:21" ht="15" customHeight="1" x14ac:dyDescent="0.25">
      <c r="A29" s="22"/>
      <c r="B29" s="17"/>
      <c r="C29" s="17"/>
      <c r="D29" s="17"/>
      <c r="E29" s="17"/>
      <c r="F29" s="17"/>
      <c r="G29" s="17"/>
      <c r="H29" s="17"/>
      <c r="I29" s="18"/>
      <c r="J29" s="31"/>
      <c r="K29"/>
      <c r="L29"/>
      <c r="M29"/>
      <c r="N29"/>
      <c r="O29"/>
      <c r="P29"/>
      <c r="Q29"/>
      <c r="R29"/>
      <c r="S29"/>
      <c r="T29"/>
      <c r="U29"/>
    </row>
    <row r="30" spans="1:21" ht="15" customHeight="1" thickBot="1" x14ac:dyDescent="0.3">
      <c r="A30" s="24"/>
      <c r="B30" s="32"/>
      <c r="C30" s="32"/>
      <c r="D30" s="32"/>
      <c r="E30" s="32"/>
      <c r="F30" s="32"/>
      <c r="G30" s="32"/>
      <c r="H30" s="32"/>
      <c r="I30" s="33"/>
      <c r="J30" s="31"/>
      <c r="K30"/>
      <c r="L30"/>
      <c r="M30"/>
      <c r="N30"/>
      <c r="O30"/>
      <c r="P30"/>
      <c r="Q30"/>
      <c r="R30"/>
      <c r="S30"/>
      <c r="T30"/>
      <c r="U30"/>
    </row>
    <row r="31" spans="1:21" ht="15" customHeight="1" x14ac:dyDescent="0.25">
      <c r="B31" s="31"/>
      <c r="C31" s="31"/>
      <c r="D31" s="31"/>
      <c r="E31" s="31"/>
      <c r="F31" s="31"/>
      <c r="G31" s="31"/>
      <c r="H31" s="31"/>
      <c r="I31" s="31"/>
      <c r="J31" s="31"/>
      <c r="K31"/>
      <c r="L31"/>
      <c r="M31"/>
      <c r="N31"/>
      <c r="O31"/>
      <c r="P31"/>
      <c r="Q31"/>
      <c r="R31"/>
      <c r="S31"/>
      <c r="T31"/>
      <c r="U31"/>
    </row>
    <row r="32" spans="1:21" ht="15" customHeight="1" x14ac:dyDescent="0.25">
      <c r="J32" s="31"/>
      <c r="K32"/>
      <c r="L32"/>
      <c r="M32"/>
      <c r="N32"/>
      <c r="O32"/>
      <c r="P32"/>
      <c r="Q32"/>
      <c r="R32"/>
      <c r="S32"/>
      <c r="T32"/>
      <c r="U32"/>
    </row>
    <row r="33" spans="2:21" ht="15" customHeight="1" x14ac:dyDescent="0.25">
      <c r="J33" s="31"/>
      <c r="K33"/>
      <c r="L33"/>
      <c r="M33"/>
      <c r="N33"/>
      <c r="O33"/>
      <c r="P33"/>
      <c r="Q33"/>
      <c r="R33"/>
      <c r="S33"/>
      <c r="T33"/>
      <c r="U33"/>
    </row>
    <row r="34" spans="2:21" ht="15" customHeight="1" x14ac:dyDescent="0.25">
      <c r="J34" s="31"/>
      <c r="K34"/>
      <c r="L34"/>
      <c r="M34"/>
      <c r="N34"/>
      <c r="O34"/>
      <c r="P34"/>
      <c r="Q34"/>
      <c r="R34"/>
      <c r="S34"/>
      <c r="T34"/>
      <c r="U34"/>
    </row>
    <row r="35" spans="2:21" ht="15" customHeight="1" x14ac:dyDescent="0.25">
      <c r="J35" s="31"/>
      <c r="K35"/>
      <c r="L35"/>
      <c r="M35"/>
      <c r="N35"/>
      <c r="O35"/>
      <c r="P35"/>
      <c r="Q35"/>
      <c r="R35"/>
      <c r="S35"/>
      <c r="T35"/>
      <c r="U35"/>
    </row>
    <row r="36" spans="2:21" ht="15" customHeight="1" x14ac:dyDescent="0.25">
      <c r="J36" s="31"/>
      <c r="K36"/>
      <c r="L36"/>
      <c r="M36"/>
      <c r="N36"/>
      <c r="O36"/>
      <c r="P36"/>
      <c r="Q36"/>
      <c r="R36"/>
      <c r="S36"/>
      <c r="T36"/>
      <c r="U36"/>
    </row>
    <row r="37" spans="2:21" ht="15" customHeight="1" x14ac:dyDescent="0.25">
      <c r="J37" s="31"/>
      <c r="K37"/>
      <c r="L37"/>
      <c r="M37"/>
      <c r="N37"/>
      <c r="O37"/>
      <c r="P37"/>
      <c r="Q37"/>
      <c r="R37"/>
      <c r="S37"/>
      <c r="T37"/>
      <c r="U37"/>
    </row>
    <row r="38" spans="2:21" ht="15" customHeight="1" x14ac:dyDescent="0.25">
      <c r="J38" s="31"/>
      <c r="K38"/>
      <c r="L38"/>
      <c r="M38"/>
      <c r="N38"/>
      <c r="O38"/>
      <c r="P38"/>
      <c r="Q38"/>
      <c r="R38"/>
      <c r="S38"/>
      <c r="T38"/>
      <c r="U38"/>
    </row>
    <row r="39" spans="2:21" ht="15" customHeight="1" x14ac:dyDescent="0.25">
      <c r="J39" s="31"/>
      <c r="K39"/>
      <c r="L39"/>
      <c r="M39"/>
      <c r="N39"/>
      <c r="O39"/>
      <c r="P39"/>
      <c r="Q39"/>
      <c r="R39"/>
      <c r="S39"/>
      <c r="T39"/>
      <c r="U39"/>
    </row>
    <row r="40" spans="2:21" ht="15" customHeight="1" x14ac:dyDescent="0.25">
      <c r="J40" s="31"/>
      <c r="K40"/>
      <c r="L40"/>
      <c r="M40"/>
      <c r="N40"/>
      <c r="O40"/>
      <c r="P40"/>
      <c r="Q40"/>
      <c r="R40"/>
      <c r="S40"/>
      <c r="T40"/>
      <c r="U40"/>
    </row>
    <row r="41" spans="2:21" ht="15" customHeight="1" x14ac:dyDescent="0.25">
      <c r="J41" s="31"/>
      <c r="K41"/>
      <c r="L41"/>
      <c r="M41"/>
      <c r="N41"/>
      <c r="O41"/>
      <c r="P41"/>
      <c r="Q41"/>
      <c r="R41"/>
      <c r="S41"/>
      <c r="T41"/>
      <c r="U41"/>
    </row>
    <row r="42" spans="2:21" ht="15" customHeight="1" x14ac:dyDescent="0.25">
      <c r="J42" s="31"/>
      <c r="K42"/>
      <c r="L42"/>
      <c r="M42"/>
      <c r="N42"/>
      <c r="O42"/>
      <c r="P42"/>
      <c r="Q42"/>
      <c r="R42"/>
      <c r="S42"/>
      <c r="T42"/>
      <c r="U42"/>
    </row>
    <row r="43" spans="2:21" ht="15" customHeight="1" x14ac:dyDescent="0.25">
      <c r="J43" s="31"/>
      <c r="K43"/>
      <c r="L43"/>
      <c r="M43"/>
      <c r="N43"/>
      <c r="O43"/>
      <c r="P43"/>
      <c r="Q43"/>
      <c r="R43"/>
      <c r="S43"/>
      <c r="T43"/>
      <c r="U43"/>
    </row>
    <row r="44" spans="2:21" ht="15" customHeight="1" x14ac:dyDescent="0.25">
      <c r="J44" s="31"/>
      <c r="K44"/>
      <c r="L44"/>
      <c r="M44"/>
      <c r="N44"/>
      <c r="O44"/>
      <c r="P44"/>
      <c r="Q44"/>
      <c r="R44"/>
      <c r="S44"/>
      <c r="T44"/>
      <c r="U44"/>
    </row>
    <row r="45" spans="2:21" ht="15" customHeight="1" x14ac:dyDescent="0.25">
      <c r="J45" s="31"/>
      <c r="K45"/>
      <c r="L45"/>
      <c r="M45"/>
      <c r="N45"/>
      <c r="O45"/>
      <c r="P45"/>
      <c r="Q45"/>
      <c r="R45"/>
      <c r="S45"/>
      <c r="T45"/>
      <c r="U45"/>
    </row>
    <row r="46" spans="2:21" ht="15" customHeight="1" x14ac:dyDescent="0.25">
      <c r="B46" s="31"/>
      <c r="C46" s="31"/>
      <c r="D46" s="31"/>
      <c r="E46" s="31"/>
      <c r="F46" s="31"/>
      <c r="G46" s="31"/>
      <c r="H46" s="31"/>
      <c r="I46" s="31"/>
      <c r="J46" s="31"/>
      <c r="K46"/>
      <c r="L46"/>
      <c r="M46"/>
      <c r="N46"/>
      <c r="O46"/>
      <c r="P46"/>
      <c r="Q46"/>
      <c r="R46"/>
      <c r="S46"/>
      <c r="T46"/>
      <c r="U46"/>
    </row>
    <row r="47" spans="2:21" ht="15" customHeight="1" x14ac:dyDescent="0.25">
      <c r="B47" s="31"/>
      <c r="C47" s="31"/>
      <c r="D47" s="31"/>
      <c r="E47" s="31"/>
      <c r="F47" s="31"/>
      <c r="G47" s="31"/>
      <c r="H47" s="31"/>
      <c r="I47" s="31"/>
      <c r="J47" s="31"/>
      <c r="K47"/>
      <c r="L47"/>
      <c r="M47"/>
      <c r="N47"/>
      <c r="O47"/>
      <c r="P47"/>
      <c r="Q47"/>
      <c r="R47"/>
      <c r="S47"/>
      <c r="T47"/>
      <c r="U47"/>
    </row>
    <row r="48" spans="2:21" ht="15" customHeight="1" x14ac:dyDescent="0.25">
      <c r="B48" s="31"/>
      <c r="C48" s="31"/>
      <c r="D48" s="31"/>
      <c r="E48" s="31"/>
      <c r="F48" s="31"/>
      <c r="G48" s="31"/>
      <c r="H48" s="31"/>
      <c r="I48" s="31"/>
      <c r="J48" s="31"/>
      <c r="K48"/>
      <c r="L48"/>
      <c r="M48"/>
      <c r="N48"/>
      <c r="O48"/>
      <c r="P48"/>
      <c r="Q48"/>
      <c r="R48"/>
      <c r="S48"/>
      <c r="T48"/>
      <c r="U48"/>
    </row>
    <row r="49" spans="2:21" ht="15" customHeight="1" x14ac:dyDescent="0.25">
      <c r="B49" s="31"/>
      <c r="C49" s="31"/>
      <c r="D49" s="31"/>
      <c r="E49" s="31"/>
      <c r="F49" s="31"/>
      <c r="G49" s="31"/>
      <c r="H49" s="31"/>
      <c r="I49" s="31"/>
      <c r="J49" s="31"/>
      <c r="K49"/>
      <c r="L49"/>
      <c r="M49"/>
      <c r="N49"/>
      <c r="O49"/>
      <c r="P49"/>
      <c r="Q49"/>
      <c r="R49"/>
      <c r="S49"/>
      <c r="T49"/>
      <c r="U49"/>
    </row>
    <row r="50" spans="2:21" ht="15" customHeight="1" x14ac:dyDescent="0.25">
      <c r="B50" s="31"/>
      <c r="C50" s="31"/>
      <c r="D50" s="31"/>
      <c r="E50" s="31"/>
      <c r="F50" s="31"/>
      <c r="G50" s="31"/>
      <c r="H50" s="31"/>
      <c r="I50" s="31"/>
      <c r="J50" s="31"/>
      <c r="K50"/>
      <c r="L50"/>
      <c r="M50"/>
      <c r="N50"/>
      <c r="O50"/>
      <c r="P50"/>
      <c r="Q50"/>
      <c r="R50"/>
      <c r="S50"/>
      <c r="T50"/>
      <c r="U50"/>
    </row>
    <row r="51" spans="2:21" ht="15" customHeight="1" x14ac:dyDescent="0.25">
      <c r="B51" s="31"/>
      <c r="C51" s="31"/>
      <c r="D51" s="31"/>
      <c r="E51" s="31"/>
      <c r="F51" s="31"/>
      <c r="G51" s="31"/>
      <c r="H51" s="31"/>
      <c r="I51" s="31"/>
      <c r="J51" s="31"/>
      <c r="K51"/>
      <c r="L51"/>
      <c r="M51"/>
      <c r="N51"/>
      <c r="O51"/>
      <c r="P51"/>
      <c r="Q51"/>
      <c r="R51"/>
      <c r="S51"/>
      <c r="T51"/>
      <c r="U51"/>
    </row>
    <row r="52" spans="2:21" ht="15" customHeight="1" x14ac:dyDescent="0.25">
      <c r="B52" s="31"/>
      <c r="C52" s="31"/>
      <c r="D52" s="31"/>
      <c r="E52" s="31"/>
      <c r="F52" s="31"/>
      <c r="G52" s="31"/>
      <c r="H52" s="31"/>
      <c r="I52" s="31"/>
      <c r="J52" s="31"/>
      <c r="K52"/>
      <c r="L52"/>
      <c r="M52"/>
      <c r="N52"/>
      <c r="O52"/>
      <c r="P52"/>
      <c r="Q52"/>
      <c r="R52"/>
      <c r="S52"/>
      <c r="T52"/>
      <c r="U52"/>
    </row>
    <row r="53" spans="2:21" ht="15" customHeight="1" x14ac:dyDescent="0.25">
      <c r="B53" s="31"/>
      <c r="C53" s="31"/>
      <c r="D53" s="31"/>
      <c r="E53" s="31"/>
      <c r="F53" s="31"/>
      <c r="G53" s="31"/>
      <c r="H53" s="31"/>
      <c r="I53" s="31"/>
      <c r="J53" s="31"/>
      <c r="K53"/>
      <c r="L53"/>
      <c r="M53"/>
      <c r="N53"/>
      <c r="O53"/>
      <c r="P53"/>
      <c r="Q53"/>
      <c r="R53"/>
      <c r="S53"/>
      <c r="T53"/>
      <c r="U53"/>
    </row>
    <row r="54" spans="2:21" ht="15" customHeight="1" x14ac:dyDescent="0.25">
      <c r="B54" s="31"/>
      <c r="C54" s="31"/>
      <c r="D54" s="31"/>
      <c r="E54" s="31"/>
      <c r="F54" s="31"/>
      <c r="G54" s="31"/>
      <c r="H54" s="31"/>
      <c r="I54" s="31"/>
      <c r="J54" s="31"/>
      <c r="K54"/>
      <c r="L54"/>
      <c r="M54"/>
      <c r="N54"/>
      <c r="O54"/>
      <c r="P54"/>
      <c r="Q54"/>
      <c r="R54"/>
      <c r="S54"/>
      <c r="T54"/>
      <c r="U54"/>
    </row>
    <row r="55" spans="2:21" ht="15" customHeight="1" x14ac:dyDescent="0.25">
      <c r="B55" s="31"/>
      <c r="C55" s="31"/>
      <c r="D55" s="31"/>
      <c r="E55" s="31"/>
      <c r="F55" s="31"/>
      <c r="G55" s="31"/>
      <c r="H55" s="31"/>
      <c r="I55" s="31"/>
      <c r="J55" s="31"/>
      <c r="K55"/>
      <c r="L55"/>
      <c r="M55"/>
      <c r="N55"/>
      <c r="O55"/>
      <c r="P55"/>
      <c r="Q55"/>
      <c r="R55"/>
      <c r="S55"/>
      <c r="T55"/>
      <c r="U55"/>
    </row>
    <row r="56" spans="2:21" ht="15" customHeight="1" x14ac:dyDescent="0.25">
      <c r="B56" s="31"/>
      <c r="C56" s="31"/>
      <c r="D56" s="31"/>
      <c r="E56" s="31"/>
      <c r="F56" s="31"/>
      <c r="G56" s="31"/>
      <c r="H56" s="31"/>
      <c r="I56" s="31"/>
      <c r="J56" s="31"/>
      <c r="K56"/>
      <c r="L56"/>
      <c r="M56"/>
      <c r="N56"/>
      <c r="O56"/>
      <c r="P56"/>
      <c r="Q56"/>
      <c r="R56"/>
      <c r="S56"/>
      <c r="T56"/>
      <c r="U56"/>
    </row>
    <row r="57" spans="2:21" ht="15" customHeight="1" x14ac:dyDescent="0.25">
      <c r="B57" s="31"/>
      <c r="C57" s="31"/>
      <c r="D57" s="31"/>
      <c r="E57" s="31"/>
      <c r="F57" s="31"/>
      <c r="G57" s="31"/>
      <c r="H57" s="31"/>
      <c r="I57" s="31"/>
      <c r="J57" s="31"/>
      <c r="K57"/>
      <c r="L57"/>
      <c r="M57"/>
      <c r="N57"/>
      <c r="O57"/>
      <c r="P57"/>
      <c r="Q57"/>
      <c r="R57"/>
      <c r="S57"/>
      <c r="T57"/>
      <c r="U57"/>
    </row>
    <row r="58" spans="2:21" ht="15" customHeight="1" x14ac:dyDescent="0.25">
      <c r="B58" s="31"/>
      <c r="C58" s="31"/>
      <c r="D58" s="31"/>
      <c r="E58" s="31"/>
      <c r="F58" s="31"/>
      <c r="G58" s="31"/>
      <c r="H58" s="31"/>
      <c r="I58" s="31"/>
      <c r="J58" s="31"/>
      <c r="K58"/>
      <c r="L58"/>
      <c r="M58"/>
      <c r="N58"/>
      <c r="O58"/>
      <c r="P58"/>
      <c r="Q58"/>
      <c r="R58"/>
      <c r="S58"/>
      <c r="T58"/>
      <c r="U58"/>
    </row>
    <row r="59" spans="2:21" ht="15" customHeight="1" x14ac:dyDescent="0.25">
      <c r="B59" s="31"/>
      <c r="C59" s="31"/>
      <c r="D59" s="31"/>
      <c r="E59" s="31"/>
      <c r="F59" s="31"/>
      <c r="G59" s="31"/>
      <c r="H59" s="31"/>
      <c r="I59" s="31"/>
      <c r="J59" s="31"/>
      <c r="K59"/>
      <c r="L59"/>
      <c r="M59"/>
      <c r="N59"/>
      <c r="O59"/>
      <c r="P59"/>
      <c r="Q59"/>
      <c r="R59"/>
      <c r="S59"/>
      <c r="T59"/>
      <c r="U59"/>
    </row>
    <row r="60" spans="2:21" ht="15" customHeight="1" x14ac:dyDescent="0.25">
      <c r="B60" s="31"/>
      <c r="C60" s="31"/>
      <c r="D60" s="31"/>
      <c r="E60" s="31"/>
      <c r="F60" s="31"/>
      <c r="G60" s="31"/>
      <c r="H60" s="31"/>
      <c r="I60" s="31"/>
      <c r="J60" s="31"/>
      <c r="K60"/>
      <c r="L60"/>
      <c r="M60"/>
      <c r="N60"/>
      <c r="O60"/>
      <c r="P60"/>
      <c r="Q60"/>
      <c r="R60"/>
      <c r="S60"/>
      <c r="T60"/>
      <c r="U60"/>
    </row>
    <row r="61" spans="2:21" ht="15" customHeight="1" x14ac:dyDescent="0.25">
      <c r="B61" s="31"/>
      <c r="C61" s="31"/>
      <c r="D61" s="31"/>
      <c r="E61" s="31"/>
      <c r="F61" s="31"/>
      <c r="G61" s="31"/>
      <c r="H61" s="31"/>
      <c r="I61" s="31"/>
      <c r="J61" s="31"/>
      <c r="K61"/>
      <c r="L61"/>
      <c r="M61"/>
      <c r="N61"/>
      <c r="O61"/>
      <c r="P61"/>
      <c r="Q61"/>
      <c r="R61"/>
      <c r="S61"/>
      <c r="T61"/>
      <c r="U61"/>
    </row>
    <row r="62" spans="2:21" ht="15" customHeight="1" x14ac:dyDescent="0.25">
      <c r="B62" s="31"/>
      <c r="C62" s="31"/>
      <c r="D62" s="31"/>
      <c r="E62" s="31"/>
      <c r="F62" s="31"/>
      <c r="G62" s="31"/>
      <c r="H62" s="31"/>
      <c r="I62" s="31"/>
      <c r="J62" s="31"/>
      <c r="K62"/>
      <c r="L62"/>
      <c r="M62"/>
      <c r="N62"/>
      <c r="O62"/>
      <c r="P62"/>
      <c r="Q62"/>
      <c r="R62"/>
      <c r="S62"/>
      <c r="T62"/>
      <c r="U62"/>
    </row>
    <row r="63" spans="2:21" ht="15" customHeight="1" x14ac:dyDescent="0.25">
      <c r="B63" s="31"/>
      <c r="C63" s="31"/>
      <c r="D63" s="31"/>
      <c r="E63" s="31"/>
      <c r="F63" s="31"/>
      <c r="G63" s="31"/>
      <c r="H63" s="31"/>
      <c r="I63" s="31"/>
      <c r="J63" s="31"/>
      <c r="K63"/>
      <c r="L63"/>
      <c r="M63"/>
      <c r="N63"/>
      <c r="O63"/>
      <c r="P63"/>
      <c r="Q63"/>
      <c r="R63"/>
      <c r="S63"/>
      <c r="T63"/>
      <c r="U63"/>
    </row>
    <row r="64" spans="2:21" ht="15" customHeight="1" x14ac:dyDescent="0.25">
      <c r="B64" s="31"/>
      <c r="C64" s="31"/>
      <c r="D64" s="31"/>
      <c r="E64" s="31"/>
      <c r="F64" s="31"/>
      <c r="G64" s="31"/>
      <c r="H64" s="31"/>
      <c r="I64" s="31"/>
      <c r="J64" s="31"/>
      <c r="K64"/>
      <c r="L64"/>
      <c r="M64"/>
      <c r="N64"/>
      <c r="O64"/>
      <c r="P64"/>
      <c r="Q64"/>
      <c r="R64"/>
      <c r="S64"/>
      <c r="T64"/>
      <c r="U64"/>
    </row>
    <row r="65" spans="2:21" ht="15" customHeight="1" x14ac:dyDescent="0.25">
      <c r="B65" s="31"/>
      <c r="C65" s="31"/>
      <c r="D65" s="31"/>
      <c r="E65" s="31"/>
      <c r="F65" s="31"/>
      <c r="G65" s="31"/>
      <c r="H65" s="31"/>
      <c r="I65" s="31"/>
      <c r="J65" s="31"/>
      <c r="K65"/>
      <c r="L65"/>
      <c r="M65"/>
      <c r="N65"/>
      <c r="O65"/>
      <c r="P65"/>
      <c r="Q65"/>
      <c r="R65"/>
      <c r="S65"/>
      <c r="T65"/>
      <c r="U65"/>
    </row>
    <row r="66" spans="2:21" ht="15" customHeight="1" x14ac:dyDescent="0.25">
      <c r="B66" s="31"/>
      <c r="C66" s="31"/>
      <c r="D66" s="31"/>
      <c r="E66" s="31"/>
      <c r="F66" s="31"/>
      <c r="G66" s="31"/>
      <c r="H66" s="31"/>
      <c r="I66" s="31"/>
      <c r="J66" s="31"/>
      <c r="K66"/>
      <c r="L66"/>
      <c r="M66"/>
      <c r="N66"/>
      <c r="O66"/>
      <c r="P66"/>
      <c r="Q66"/>
      <c r="R66"/>
      <c r="S66"/>
      <c r="T66"/>
      <c r="U66"/>
    </row>
    <row r="67" spans="2:21" ht="15" customHeight="1" x14ac:dyDescent="0.25">
      <c r="B67" s="31"/>
      <c r="C67" s="31"/>
      <c r="D67" s="31"/>
      <c r="E67" s="31"/>
      <c r="F67" s="31"/>
      <c r="G67" s="31"/>
      <c r="H67" s="31"/>
      <c r="I67" s="31"/>
      <c r="J67" s="31"/>
      <c r="K67"/>
      <c r="L67"/>
      <c r="M67"/>
      <c r="N67"/>
      <c r="O67"/>
      <c r="P67"/>
      <c r="Q67"/>
      <c r="R67"/>
      <c r="S67"/>
      <c r="T67"/>
      <c r="U67"/>
    </row>
    <row r="68" spans="2:21" ht="15" customHeight="1" x14ac:dyDescent="0.25">
      <c r="B68" s="31"/>
      <c r="C68" s="31"/>
      <c r="D68" s="31"/>
      <c r="E68" s="31"/>
      <c r="F68" s="31"/>
      <c r="G68" s="31"/>
      <c r="H68" s="31"/>
      <c r="I68" s="31"/>
      <c r="J68" s="31"/>
      <c r="K68"/>
      <c r="L68"/>
      <c r="M68"/>
      <c r="N68"/>
      <c r="O68"/>
      <c r="P68"/>
      <c r="Q68"/>
      <c r="R68"/>
      <c r="S68"/>
      <c r="T68"/>
      <c r="U68"/>
    </row>
    <row r="69" spans="2:21" ht="15" customHeight="1" x14ac:dyDescent="0.25">
      <c r="B69" s="31"/>
      <c r="C69" s="31"/>
      <c r="D69" s="31"/>
      <c r="E69" s="31"/>
      <c r="F69" s="31"/>
      <c r="G69" s="31"/>
      <c r="H69" s="31"/>
      <c r="I69" s="31"/>
      <c r="J69" s="31"/>
      <c r="K69"/>
      <c r="L69"/>
      <c r="M69"/>
      <c r="N69"/>
      <c r="O69"/>
      <c r="P69"/>
      <c r="Q69"/>
      <c r="R69"/>
      <c r="S69"/>
      <c r="T69"/>
      <c r="U69"/>
    </row>
    <row r="70" spans="2:21" ht="15" customHeight="1" x14ac:dyDescent="0.25">
      <c r="B70" s="31"/>
      <c r="C70" s="31"/>
      <c r="D70" s="31"/>
      <c r="E70" s="31"/>
      <c r="F70" s="31"/>
      <c r="G70" s="31"/>
      <c r="H70" s="31"/>
      <c r="I70" s="31"/>
      <c r="J70" s="31"/>
      <c r="K70"/>
      <c r="L70"/>
      <c r="M70"/>
      <c r="N70"/>
      <c r="O70"/>
      <c r="P70"/>
      <c r="Q70"/>
      <c r="R70"/>
      <c r="S70"/>
      <c r="T70"/>
      <c r="U70"/>
    </row>
    <row r="71" spans="2:21" ht="15" customHeight="1" x14ac:dyDescent="0.25">
      <c r="B71" s="31"/>
      <c r="C71" s="31"/>
      <c r="D71" s="31"/>
      <c r="E71" s="31"/>
      <c r="F71" s="31"/>
      <c r="G71" s="31"/>
      <c r="H71" s="31"/>
      <c r="I71" s="31"/>
      <c r="J71" s="31"/>
      <c r="K71"/>
      <c r="L71"/>
      <c r="M71"/>
      <c r="N71"/>
      <c r="O71"/>
      <c r="P71"/>
      <c r="Q71"/>
      <c r="R71"/>
      <c r="S71"/>
      <c r="T71"/>
      <c r="U71"/>
    </row>
    <row r="72" spans="2:21" ht="15" customHeight="1" x14ac:dyDescent="0.25">
      <c r="B72" s="31"/>
      <c r="C72" s="31"/>
      <c r="D72" s="31"/>
      <c r="E72" s="31"/>
      <c r="F72" s="31"/>
      <c r="G72" s="31"/>
      <c r="H72" s="31"/>
      <c r="I72" s="31"/>
      <c r="J72" s="31"/>
      <c r="K72"/>
      <c r="L72"/>
      <c r="M72"/>
      <c r="N72"/>
      <c r="O72"/>
      <c r="P72"/>
      <c r="Q72"/>
      <c r="R72"/>
      <c r="S72"/>
      <c r="T72"/>
      <c r="U72"/>
    </row>
    <row r="73" spans="2:21" ht="15" customHeight="1" x14ac:dyDescent="0.25">
      <c r="B73" s="31"/>
      <c r="C73" s="31"/>
      <c r="D73" s="31"/>
      <c r="E73" s="31"/>
      <c r="F73" s="31"/>
      <c r="G73" s="31"/>
      <c r="H73" s="31"/>
      <c r="I73" s="31"/>
      <c r="J73" s="31"/>
      <c r="K73"/>
      <c r="L73"/>
      <c r="M73"/>
      <c r="N73"/>
      <c r="O73"/>
      <c r="P73"/>
      <c r="Q73"/>
      <c r="R73"/>
      <c r="S73"/>
      <c r="T73"/>
      <c r="U73"/>
    </row>
    <row r="74" spans="2:21" ht="15" customHeight="1" x14ac:dyDescent="0.25">
      <c r="B74" s="31"/>
      <c r="C74" s="31"/>
      <c r="D74" s="31"/>
      <c r="E74" s="31"/>
      <c r="F74" s="31"/>
      <c r="G74" s="31"/>
      <c r="H74" s="31"/>
      <c r="I74" s="31"/>
      <c r="J74" s="31"/>
      <c r="K74"/>
      <c r="L74"/>
      <c r="M74"/>
      <c r="N74"/>
      <c r="O74"/>
      <c r="P74"/>
      <c r="Q74"/>
      <c r="R74"/>
      <c r="S74"/>
      <c r="T74"/>
      <c r="U74"/>
    </row>
    <row r="75" spans="2:21" ht="15" customHeight="1" x14ac:dyDescent="0.25">
      <c r="B75" s="31"/>
      <c r="C75" s="31"/>
      <c r="D75" s="31"/>
      <c r="E75" s="31"/>
      <c r="F75" s="31"/>
      <c r="G75" s="31"/>
      <c r="H75" s="31"/>
      <c r="I75" s="31"/>
      <c r="J75" s="31"/>
      <c r="K75"/>
      <c r="L75"/>
      <c r="M75"/>
      <c r="N75"/>
      <c r="O75"/>
      <c r="P75"/>
      <c r="Q75"/>
      <c r="R75"/>
      <c r="S75"/>
      <c r="T75"/>
      <c r="U75"/>
    </row>
    <row r="76" spans="2:21" ht="15" customHeight="1" x14ac:dyDescent="0.25">
      <c r="B76" s="31"/>
      <c r="C76" s="31"/>
      <c r="D76" s="31"/>
      <c r="E76" s="31"/>
      <c r="F76" s="31"/>
      <c r="G76" s="31"/>
      <c r="H76" s="31"/>
      <c r="I76" s="31"/>
      <c r="J76" s="31"/>
      <c r="K76"/>
      <c r="L76"/>
      <c r="M76"/>
      <c r="N76"/>
      <c r="O76"/>
      <c r="P76"/>
      <c r="Q76"/>
      <c r="R76"/>
      <c r="S76"/>
      <c r="T76"/>
      <c r="U76"/>
    </row>
    <row r="77" spans="2:21" ht="15" customHeight="1" x14ac:dyDescent="0.25">
      <c r="B77" s="31"/>
      <c r="C77" s="31"/>
      <c r="D77" s="31"/>
      <c r="E77" s="31"/>
      <c r="F77" s="31"/>
      <c r="G77" s="31"/>
      <c r="H77" s="31"/>
      <c r="I77" s="31"/>
      <c r="J77" s="31"/>
      <c r="K77"/>
      <c r="L77"/>
      <c r="M77"/>
      <c r="N77"/>
      <c r="O77"/>
      <c r="P77"/>
      <c r="Q77"/>
      <c r="R77"/>
      <c r="S77"/>
      <c r="T77"/>
      <c r="U77"/>
    </row>
    <row r="78" spans="2:21" ht="15" customHeight="1" x14ac:dyDescent="0.25">
      <c r="B78" s="31"/>
      <c r="C78" s="31"/>
      <c r="D78" s="31"/>
      <c r="E78" s="31"/>
      <c r="F78" s="31"/>
      <c r="G78" s="31"/>
      <c r="H78" s="31"/>
      <c r="I78" s="31"/>
      <c r="J78" s="31"/>
      <c r="K78"/>
      <c r="L78"/>
      <c r="M78"/>
      <c r="N78"/>
      <c r="O78"/>
      <c r="P78"/>
      <c r="Q78"/>
      <c r="R78"/>
      <c r="S78"/>
      <c r="T78"/>
      <c r="U78"/>
    </row>
    <row r="79" spans="2:21" ht="15" customHeight="1" x14ac:dyDescent="0.25">
      <c r="B79" s="31"/>
      <c r="C79" s="31"/>
      <c r="D79" s="31"/>
      <c r="E79" s="31"/>
      <c r="F79" s="31"/>
      <c r="G79" s="31"/>
      <c r="H79" s="31"/>
      <c r="I79" s="31"/>
      <c r="J79" s="31"/>
      <c r="K79"/>
      <c r="L79"/>
      <c r="M79"/>
      <c r="N79"/>
      <c r="O79"/>
      <c r="P79"/>
      <c r="Q79"/>
      <c r="R79"/>
      <c r="S79"/>
      <c r="T79"/>
      <c r="U79"/>
    </row>
    <row r="80" spans="2:21" ht="15" customHeight="1" x14ac:dyDescent="0.25">
      <c r="B80" s="31"/>
      <c r="C80" s="31"/>
      <c r="D80" s="31"/>
      <c r="E80" s="31"/>
      <c r="F80" s="31"/>
      <c r="G80" s="31"/>
      <c r="H80" s="31"/>
      <c r="I80" s="31"/>
      <c r="J80" s="31"/>
      <c r="K80"/>
      <c r="L80"/>
      <c r="M80"/>
      <c r="N80"/>
      <c r="O80"/>
      <c r="P80"/>
      <c r="Q80"/>
      <c r="R80"/>
      <c r="S80"/>
      <c r="T80"/>
      <c r="U80"/>
    </row>
    <row r="81" spans="2:21" ht="15" customHeight="1" x14ac:dyDescent="0.25">
      <c r="B81" s="31"/>
      <c r="C81" s="31"/>
      <c r="D81" s="31"/>
      <c r="E81" s="31"/>
      <c r="F81" s="31"/>
      <c r="G81" s="31"/>
      <c r="H81" s="31"/>
      <c r="I81" s="31"/>
      <c r="J81" s="31"/>
      <c r="K81"/>
      <c r="L81"/>
      <c r="M81"/>
      <c r="N81"/>
      <c r="O81"/>
      <c r="P81"/>
      <c r="Q81"/>
      <c r="R81"/>
      <c r="S81"/>
      <c r="T81"/>
      <c r="U81"/>
    </row>
    <row r="82" spans="2:21" ht="15" customHeight="1" x14ac:dyDescent="0.25">
      <c r="B82" s="31"/>
      <c r="C82" s="31"/>
      <c r="D82" s="31"/>
      <c r="E82" s="31"/>
      <c r="F82" s="31"/>
      <c r="G82" s="31"/>
      <c r="H82" s="31"/>
      <c r="I82" s="31"/>
      <c r="J82" s="31"/>
      <c r="K82"/>
      <c r="L82"/>
      <c r="M82"/>
      <c r="N82"/>
      <c r="O82"/>
      <c r="P82"/>
      <c r="Q82"/>
      <c r="R82"/>
      <c r="S82"/>
      <c r="T82"/>
      <c r="U82"/>
    </row>
    <row r="83" spans="2:21" ht="15" customHeight="1" x14ac:dyDescent="0.25">
      <c r="B83" s="31"/>
      <c r="C83" s="31"/>
      <c r="D83" s="31"/>
      <c r="E83" s="31"/>
      <c r="F83" s="31"/>
      <c r="G83" s="31"/>
      <c r="H83" s="31"/>
      <c r="I83" s="31"/>
      <c r="J83" s="31"/>
      <c r="K83"/>
      <c r="L83"/>
      <c r="M83"/>
      <c r="N83"/>
      <c r="O83"/>
      <c r="P83"/>
      <c r="Q83"/>
      <c r="R83"/>
      <c r="S83"/>
      <c r="T83"/>
      <c r="U83"/>
    </row>
    <row r="84" spans="2:21" ht="15" customHeight="1" x14ac:dyDescent="0.25">
      <c r="B84" s="31"/>
      <c r="C84" s="31"/>
      <c r="D84" s="31"/>
      <c r="E84" s="31"/>
      <c r="F84" s="31"/>
      <c r="G84" s="31"/>
      <c r="H84" s="31"/>
      <c r="I84" s="31"/>
      <c r="J84" s="31"/>
      <c r="K84"/>
      <c r="L84"/>
      <c r="M84"/>
      <c r="N84"/>
      <c r="O84"/>
      <c r="P84"/>
      <c r="Q84"/>
      <c r="R84"/>
      <c r="S84"/>
      <c r="T84"/>
      <c r="U84"/>
    </row>
    <row r="85" spans="2:21" ht="15" customHeight="1" x14ac:dyDescent="0.25">
      <c r="B85" s="31"/>
      <c r="C85" s="31"/>
      <c r="D85" s="31"/>
      <c r="E85" s="31"/>
      <c r="F85" s="31"/>
      <c r="G85" s="31"/>
      <c r="H85" s="31"/>
      <c r="I85" s="31"/>
      <c r="J85" s="31"/>
      <c r="K85"/>
      <c r="L85"/>
      <c r="M85"/>
      <c r="N85"/>
      <c r="O85"/>
      <c r="P85"/>
      <c r="Q85"/>
      <c r="R85"/>
      <c r="S85"/>
      <c r="T85"/>
      <c r="U85"/>
    </row>
    <row r="86" spans="2:21" ht="15" customHeight="1" x14ac:dyDescent="0.25">
      <c r="B86" s="31"/>
      <c r="C86" s="31"/>
      <c r="D86" s="31"/>
      <c r="E86" s="31"/>
      <c r="F86" s="31"/>
      <c r="G86" s="31"/>
      <c r="H86" s="31"/>
      <c r="I86" s="31"/>
      <c r="J86" s="31"/>
      <c r="K86"/>
      <c r="L86"/>
      <c r="M86"/>
      <c r="N86"/>
      <c r="O86"/>
      <c r="P86"/>
      <c r="Q86"/>
      <c r="R86"/>
      <c r="S86"/>
      <c r="T86"/>
      <c r="U86"/>
    </row>
    <row r="87" spans="2:21" ht="15" customHeight="1" x14ac:dyDescent="0.25">
      <c r="B87" s="31"/>
      <c r="C87" s="31"/>
      <c r="D87" s="31"/>
      <c r="E87" s="31"/>
      <c r="F87" s="31"/>
      <c r="G87" s="31"/>
      <c r="H87" s="31"/>
      <c r="I87" s="31"/>
      <c r="J87" s="31"/>
      <c r="K87"/>
      <c r="L87"/>
      <c r="M87"/>
      <c r="N87"/>
      <c r="O87"/>
      <c r="P87"/>
      <c r="Q87"/>
      <c r="R87"/>
      <c r="S87"/>
      <c r="T87"/>
      <c r="U87"/>
    </row>
    <row r="88" spans="2:21" ht="15" customHeight="1" x14ac:dyDescent="0.25">
      <c r="B88" s="31"/>
      <c r="C88" s="31"/>
      <c r="D88" s="31"/>
      <c r="E88" s="31"/>
      <c r="F88" s="31"/>
      <c r="G88" s="31"/>
      <c r="H88" s="31"/>
      <c r="I88" s="31"/>
      <c r="J88" s="31"/>
      <c r="K88"/>
      <c r="L88"/>
      <c r="M88"/>
      <c r="N88"/>
      <c r="O88"/>
      <c r="P88"/>
      <c r="Q88"/>
      <c r="R88"/>
      <c r="S88"/>
      <c r="T88"/>
      <c r="U88"/>
    </row>
    <row r="89" spans="2:21" ht="15" customHeight="1" x14ac:dyDescent="0.25">
      <c r="B89" s="31"/>
      <c r="C89" s="31"/>
      <c r="D89" s="31"/>
      <c r="E89" s="31"/>
      <c r="F89" s="31"/>
      <c r="G89" s="31"/>
      <c r="H89" s="31"/>
      <c r="I89" s="31"/>
      <c r="J89" s="31"/>
      <c r="K89"/>
      <c r="L89"/>
      <c r="M89"/>
      <c r="N89"/>
      <c r="O89"/>
      <c r="P89"/>
      <c r="Q89"/>
      <c r="R89"/>
      <c r="S89"/>
      <c r="T89"/>
      <c r="U89"/>
    </row>
    <row r="90" spans="2:21" ht="15" customHeight="1" x14ac:dyDescent="0.25">
      <c r="B90" s="31"/>
      <c r="C90" s="31"/>
      <c r="D90" s="31"/>
      <c r="E90" s="31"/>
      <c r="F90" s="31"/>
      <c r="G90" s="31"/>
      <c r="H90" s="31"/>
      <c r="I90" s="31"/>
      <c r="J90" s="31"/>
      <c r="K90"/>
      <c r="L90"/>
      <c r="M90"/>
      <c r="N90"/>
      <c r="O90"/>
      <c r="P90"/>
      <c r="Q90"/>
      <c r="R90"/>
      <c r="S90"/>
      <c r="T90"/>
      <c r="U90"/>
    </row>
    <row r="91" spans="2:21" ht="15" customHeight="1" x14ac:dyDescent="0.25">
      <c r="B91" s="31"/>
      <c r="C91" s="31"/>
      <c r="D91" s="31"/>
      <c r="E91" s="31"/>
      <c r="F91" s="31"/>
      <c r="G91" s="31"/>
      <c r="H91" s="31"/>
      <c r="I91" s="31"/>
      <c r="J91" s="31"/>
      <c r="K91"/>
      <c r="L91"/>
      <c r="M91"/>
      <c r="N91"/>
      <c r="O91"/>
      <c r="P91"/>
      <c r="Q91"/>
      <c r="R91"/>
      <c r="S91"/>
      <c r="T91"/>
      <c r="U91"/>
    </row>
    <row r="92" spans="2:21" ht="15" customHeight="1" x14ac:dyDescent="0.25">
      <c r="B92" s="31"/>
      <c r="C92" s="31"/>
      <c r="D92" s="31"/>
      <c r="E92" s="31"/>
      <c r="F92" s="31"/>
      <c r="G92" s="31"/>
      <c r="H92" s="31"/>
      <c r="I92" s="31"/>
      <c r="J92" s="31"/>
      <c r="K92"/>
      <c r="L92"/>
      <c r="M92"/>
      <c r="N92"/>
      <c r="O92"/>
      <c r="P92"/>
      <c r="Q92"/>
      <c r="R92"/>
      <c r="S92"/>
      <c r="T92"/>
      <c r="U92"/>
    </row>
    <row r="93" spans="2:21" ht="15" customHeight="1" x14ac:dyDescent="0.25">
      <c r="B93" s="31"/>
      <c r="C93" s="31"/>
      <c r="D93" s="31"/>
      <c r="E93" s="31"/>
      <c r="F93" s="31"/>
      <c r="G93" s="31"/>
      <c r="H93" s="31"/>
      <c r="I93" s="31"/>
      <c r="J93" s="31"/>
      <c r="K93"/>
      <c r="L93"/>
      <c r="M93"/>
      <c r="N93"/>
      <c r="O93"/>
      <c r="P93"/>
      <c r="Q93"/>
      <c r="R93"/>
      <c r="S93"/>
      <c r="T93"/>
      <c r="U93"/>
    </row>
    <row r="94" spans="2:21" ht="15" customHeight="1" x14ac:dyDescent="0.25">
      <c r="B94" s="31"/>
      <c r="C94" s="31"/>
      <c r="D94" s="31"/>
      <c r="E94" s="31"/>
      <c r="F94" s="31"/>
      <c r="G94" s="31"/>
      <c r="H94" s="31"/>
      <c r="I94" s="31"/>
      <c r="J94" s="31"/>
      <c r="K94"/>
      <c r="L94"/>
      <c r="M94"/>
      <c r="N94"/>
      <c r="O94"/>
      <c r="P94"/>
      <c r="Q94"/>
      <c r="R94"/>
      <c r="S94"/>
      <c r="T94"/>
      <c r="U94"/>
    </row>
    <row r="95" spans="2:21" ht="15" customHeight="1" x14ac:dyDescent="0.25">
      <c r="B95" s="31"/>
      <c r="C95" s="31"/>
      <c r="D95" s="31"/>
      <c r="E95" s="31"/>
      <c r="F95" s="31"/>
      <c r="G95" s="31"/>
      <c r="H95" s="31"/>
      <c r="I95" s="31"/>
      <c r="J95" s="31"/>
      <c r="K95"/>
      <c r="L95"/>
      <c r="M95"/>
      <c r="N95"/>
      <c r="O95"/>
      <c r="P95"/>
      <c r="Q95"/>
      <c r="R95"/>
      <c r="S95"/>
      <c r="T95"/>
      <c r="U95"/>
    </row>
    <row r="96" spans="2:21" ht="15" customHeight="1" x14ac:dyDescent="0.25">
      <c r="B96" s="31"/>
      <c r="C96" s="31"/>
      <c r="D96" s="31"/>
      <c r="E96" s="31"/>
      <c r="F96" s="31"/>
      <c r="G96" s="31"/>
      <c r="H96" s="31"/>
      <c r="I96" s="31"/>
      <c r="J96" s="31"/>
      <c r="K96"/>
      <c r="L96"/>
      <c r="M96"/>
      <c r="N96"/>
      <c r="O96"/>
      <c r="P96"/>
      <c r="Q96"/>
      <c r="R96"/>
      <c r="S96"/>
      <c r="T96"/>
      <c r="U96"/>
    </row>
    <row r="97" spans="2:21" ht="15" customHeight="1" x14ac:dyDescent="0.25">
      <c r="B97" s="31"/>
      <c r="C97" s="31"/>
      <c r="D97" s="31"/>
      <c r="E97" s="31"/>
      <c r="F97" s="31"/>
      <c r="G97" s="31"/>
      <c r="H97" s="31"/>
      <c r="I97" s="31"/>
      <c r="J97" s="31"/>
      <c r="K97"/>
      <c r="L97"/>
      <c r="M97"/>
      <c r="N97"/>
      <c r="O97"/>
      <c r="P97"/>
      <c r="Q97"/>
      <c r="R97"/>
      <c r="S97"/>
      <c r="T97"/>
      <c r="U97"/>
    </row>
    <row r="98" spans="2:21" ht="15" customHeight="1" x14ac:dyDescent="0.25">
      <c r="B98" s="31"/>
      <c r="C98" s="31"/>
      <c r="D98" s="31"/>
      <c r="E98" s="31"/>
      <c r="F98" s="31"/>
      <c r="G98" s="31"/>
      <c r="H98" s="31"/>
      <c r="I98" s="31"/>
      <c r="J98" s="31"/>
      <c r="K98"/>
      <c r="L98"/>
      <c r="M98"/>
      <c r="N98"/>
      <c r="O98"/>
      <c r="P98"/>
      <c r="Q98"/>
      <c r="R98"/>
      <c r="S98"/>
      <c r="T98"/>
      <c r="U98"/>
    </row>
    <row r="99" spans="2:21" ht="15" customHeight="1" x14ac:dyDescent="0.25">
      <c r="B99" s="31"/>
      <c r="C99" s="31"/>
      <c r="D99" s="31"/>
      <c r="E99" s="31"/>
      <c r="F99" s="31"/>
      <c r="G99" s="31"/>
      <c r="H99" s="31"/>
      <c r="I99" s="31"/>
      <c r="J99" s="31"/>
      <c r="K99"/>
      <c r="L99"/>
      <c r="M99"/>
      <c r="N99"/>
      <c r="O99"/>
      <c r="P99"/>
      <c r="Q99"/>
      <c r="R99"/>
      <c r="S99"/>
      <c r="T99"/>
      <c r="U99"/>
    </row>
    <row r="100" spans="2:21" ht="15" customHeight="1" x14ac:dyDescent="0.25">
      <c r="B100" s="31"/>
      <c r="C100" s="31"/>
      <c r="D100" s="31"/>
      <c r="E100" s="31"/>
      <c r="F100" s="31"/>
      <c r="G100" s="31"/>
      <c r="H100" s="31"/>
      <c r="I100" s="31"/>
      <c r="J100" s="31"/>
      <c r="K100"/>
      <c r="L100"/>
      <c r="M100"/>
      <c r="N100"/>
      <c r="O100"/>
      <c r="P100"/>
      <c r="Q100"/>
      <c r="R100"/>
      <c r="S100"/>
      <c r="T100"/>
      <c r="U100"/>
    </row>
    <row r="101" spans="2:21" ht="15" customHeight="1" x14ac:dyDescent="0.25">
      <c r="B101" s="31"/>
      <c r="C101" s="31"/>
      <c r="D101" s="31"/>
      <c r="E101" s="31"/>
      <c r="F101" s="31"/>
      <c r="G101" s="31"/>
      <c r="H101" s="31"/>
      <c r="I101" s="31"/>
      <c r="J101" s="31"/>
      <c r="K101"/>
      <c r="L101"/>
      <c r="M101"/>
      <c r="N101"/>
      <c r="O101"/>
      <c r="P101"/>
      <c r="Q101"/>
      <c r="R101"/>
      <c r="S101"/>
      <c r="T101"/>
      <c r="U101"/>
    </row>
  </sheetData>
  <sortState ref="K46:Q179">
    <sortCondition ref="K46:K179"/>
  </sortState>
  <mergeCells count="1">
    <mergeCell ref="H1:I1"/>
  </mergeCells>
  <conditionalFormatting sqref="B1">
    <cfRule type="cellIs" dxfId="59" priority="1" operator="equal">
      <formula>"Incomplete"</formula>
    </cfRule>
    <cfRule type="cellIs" dxfId="58" priority="2" operator="equal">
      <formula>"Flag for Review"</formula>
    </cfRule>
    <cfRule type="cellIs" dxfId="57" priority="3" operator="equal">
      <formula>"Finished"</formula>
    </cfRule>
  </conditionalFormatting>
  <dataValidations count="1">
    <dataValidation type="list" allowBlank="1" showInputMessage="1" showErrorMessage="1" sqref="B1">
      <formula1>"Finished, Flag for Review, Incomplete"</formula1>
    </dataValidation>
  </dataValidations>
  <hyperlinks>
    <hyperlink ref="H1" location="'Point Grid'!A8" display="Return to Point Grid"/>
    <hyperlink ref="H1:I1" location="'Point Grid'!A1" display="Return to Point Grid"/>
  </hyperlink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AN101"/>
  <sheetViews>
    <sheetView zoomScaleNormal="100" workbookViewId="0"/>
  </sheetViews>
  <sheetFormatPr defaultColWidth="9.140625" defaultRowHeight="15" x14ac:dyDescent="0.25"/>
  <cols>
    <col min="1" max="1" width="9.140625" style="21"/>
    <col min="2" max="2" width="16" style="21" bestFit="1" customWidth="1"/>
    <col min="3" max="4" width="11.140625" style="21" customWidth="1"/>
    <col min="5" max="5" width="4.7109375" style="21" customWidth="1"/>
    <col min="6" max="7" width="11.140625" style="21" customWidth="1"/>
    <col min="8" max="8" width="4.7109375" style="21" customWidth="1"/>
    <col min="9" max="13" width="11.140625" style="21" customWidth="1"/>
    <col min="14" max="16" width="9.140625" style="21"/>
    <col min="17" max="17" width="10.7109375" style="21" customWidth="1"/>
    <col min="18" max="21" width="9.140625" style="21"/>
    <col min="22" max="22" width="10.7109375" style="21" customWidth="1"/>
    <col min="23" max="16384" width="9.140625" style="21"/>
  </cols>
  <sheetData>
    <row r="1" spans="1:40" x14ac:dyDescent="0.25">
      <c r="A1" s="7">
        <v>12</v>
      </c>
      <c r="B1" s="27" t="s">
        <v>12</v>
      </c>
      <c r="C1" s="20"/>
      <c r="D1" s="20"/>
      <c r="E1" s="20"/>
      <c r="F1" s="20"/>
      <c r="G1" s="20"/>
      <c r="H1" s="20"/>
      <c r="I1" s="20"/>
      <c r="J1" s="20"/>
      <c r="K1" s="20"/>
      <c r="L1" s="384" t="s">
        <v>24</v>
      </c>
      <c r="M1" s="385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</row>
    <row r="2" spans="1:40" x14ac:dyDescent="0.25">
      <c r="A2" s="22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23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</row>
    <row r="3" spans="1:40" x14ac:dyDescent="0.25">
      <c r="A3" s="8" t="s">
        <v>13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8"/>
      <c r="N3" s="31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</row>
    <row r="4" spans="1:40" x14ac:dyDescent="0.25">
      <c r="A4" s="9">
        <f>INDEX('Point Grid'!B:B,MATCH(A1,'Point Grid'!A:A,0))</f>
        <v>3.25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8"/>
      <c r="N4" s="31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</row>
    <row r="5" spans="1:40" x14ac:dyDescent="0.25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8"/>
      <c r="N5" s="31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</row>
    <row r="6" spans="1:40" x14ac:dyDescent="0.25">
      <c r="A6" s="25" t="s">
        <v>2</v>
      </c>
      <c r="B6" s="17" t="s">
        <v>103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8"/>
      <c r="N6" s="31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</row>
    <row r="7" spans="1:40" ht="15.75" thickBot="1" x14ac:dyDescent="0.3">
      <c r="A7" s="9">
        <f>INDEX('Point Grid'!$C$8:$I$54,MATCH($A$1,'Point Grid'!$A$8:$A$54,0),MATCH(A6,'Point Grid'!$C$7:$I$7,0))</f>
        <v>2</v>
      </c>
      <c r="B7" s="17" t="s">
        <v>104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8"/>
      <c r="N7" s="31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</row>
    <row r="8" spans="1:40" ht="15.75" thickBot="1" x14ac:dyDescent="0.3">
      <c r="A8" s="5"/>
      <c r="B8" s="17"/>
      <c r="C8" s="28"/>
      <c r="D8" s="28"/>
      <c r="E8" s="28"/>
      <c r="F8" s="28"/>
      <c r="G8" s="28"/>
      <c r="H8" s="28"/>
      <c r="I8" s="28"/>
      <c r="J8" s="28"/>
      <c r="K8" s="28"/>
      <c r="L8" s="28"/>
      <c r="M8" s="18"/>
      <c r="N8" s="31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</row>
    <row r="9" spans="1:40" x14ac:dyDescent="0.25">
      <c r="A9" s="25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8"/>
      <c r="N9" s="31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</row>
    <row r="10" spans="1:40" x14ac:dyDescent="0.25">
      <c r="A10" s="25" t="s">
        <v>3</v>
      </c>
      <c r="B10" s="17" t="s">
        <v>106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8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</row>
    <row r="11" spans="1:40" ht="15.75" thickBot="1" x14ac:dyDescent="0.3">
      <c r="A11" s="9">
        <f>INDEX('Point Grid'!$C$8:$I$54,MATCH($A$1,'Point Grid'!$A$8:$A$54,0),MATCH(A10,'Point Grid'!$C$7:$I$7,0))</f>
        <v>0.5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8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</row>
    <row r="12" spans="1:40" ht="15.75" thickBot="1" x14ac:dyDescent="0.3">
      <c r="A12" s="5"/>
      <c r="B12" s="17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18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</row>
    <row r="13" spans="1:40" x14ac:dyDescent="0.25">
      <c r="A13" s="25"/>
      <c r="B13" s="17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18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</row>
    <row r="14" spans="1:40" x14ac:dyDescent="0.25">
      <c r="A14" s="25" t="s">
        <v>4</v>
      </c>
      <c r="B14" s="17" t="s">
        <v>105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8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</row>
    <row r="15" spans="1:40" ht="15.75" thickBot="1" x14ac:dyDescent="0.3">
      <c r="A15" s="9">
        <f>INDEX('Point Grid'!$C$8:$I$54,MATCH($A$1,'Point Grid'!$A$8:$A$54,0),MATCH(A14,'Point Grid'!$C$7:$I$7,0))</f>
        <v>0.75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8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</row>
    <row r="16" spans="1:40" ht="15.75" thickBot="1" x14ac:dyDescent="0.3">
      <c r="A16" s="5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8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</row>
    <row r="17" spans="1:40" x14ac:dyDescent="0.25">
      <c r="A17" s="22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8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</row>
    <row r="18" spans="1:40" ht="15" customHeight="1" x14ac:dyDescent="0.25">
      <c r="A18" s="22"/>
      <c r="B18" s="146" t="s">
        <v>107</v>
      </c>
      <c r="C18" s="147"/>
      <c r="D18" s="148">
        <v>2028</v>
      </c>
      <c r="E18" s="115"/>
      <c r="F18" s="114" t="s">
        <v>108</v>
      </c>
      <c r="G18" s="96"/>
      <c r="H18" s="96"/>
      <c r="I18" s="114" t="s">
        <v>109</v>
      </c>
      <c r="J18" s="96"/>
      <c r="K18" s="96"/>
      <c r="L18" s="17"/>
      <c r="M18" s="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</row>
    <row r="19" spans="1:40" ht="15" customHeight="1" x14ac:dyDescent="0.25">
      <c r="A19" s="22"/>
      <c r="B19" s="116"/>
      <c r="C19" s="116"/>
      <c r="D19" s="116"/>
      <c r="E19" s="116"/>
      <c r="F19" s="116"/>
      <c r="G19" s="116"/>
      <c r="H19" s="116"/>
      <c r="I19" s="116"/>
      <c r="J19" s="116"/>
      <c r="K19" s="96"/>
      <c r="L19" s="17"/>
      <c r="M19" s="18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</row>
    <row r="20" spans="1:40" ht="15" customHeight="1" x14ac:dyDescent="0.25">
      <c r="A20" s="22"/>
      <c r="B20" s="117"/>
      <c r="C20" s="118" t="s">
        <v>77</v>
      </c>
      <c r="D20" s="119" t="s">
        <v>110</v>
      </c>
      <c r="E20" s="96"/>
      <c r="F20" s="114"/>
      <c r="G20" s="96"/>
      <c r="H20" s="115"/>
      <c r="I20" s="96"/>
      <c r="J20" s="96"/>
      <c r="K20" s="96"/>
      <c r="L20" s="17"/>
      <c r="M20" s="18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</row>
    <row r="21" spans="1:40" ht="15" customHeight="1" x14ac:dyDescent="0.25">
      <c r="A21" s="22"/>
      <c r="B21" s="120" t="s">
        <v>111</v>
      </c>
      <c r="C21" s="121" t="s">
        <v>112</v>
      </c>
      <c r="D21" s="122" t="s">
        <v>113</v>
      </c>
      <c r="E21" s="96"/>
      <c r="F21" s="123" t="s">
        <v>114</v>
      </c>
      <c r="G21" s="124">
        <v>2.4</v>
      </c>
      <c r="H21" s="115"/>
      <c r="I21" s="92" t="s">
        <v>115</v>
      </c>
      <c r="J21" s="94"/>
      <c r="K21" s="103">
        <v>0.1</v>
      </c>
      <c r="L21" s="17"/>
      <c r="M21" s="18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</row>
    <row r="22" spans="1:40" ht="15" customHeight="1" x14ac:dyDescent="0.25">
      <c r="A22" s="22"/>
      <c r="B22" s="125">
        <v>2025</v>
      </c>
      <c r="C22" s="98">
        <v>5204000</v>
      </c>
      <c r="D22" s="99">
        <v>16100</v>
      </c>
      <c r="E22" s="96"/>
      <c r="F22" s="126" t="s">
        <v>116</v>
      </c>
      <c r="G22" s="127">
        <v>1.48</v>
      </c>
      <c r="H22" s="115"/>
      <c r="I22" s="97" t="s">
        <v>117</v>
      </c>
      <c r="J22" s="99"/>
      <c r="K22" s="113">
        <v>0.04</v>
      </c>
      <c r="L22" s="17"/>
      <c r="M22" s="18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</row>
    <row r="23" spans="1:40" ht="15" customHeight="1" x14ac:dyDescent="0.25">
      <c r="A23" s="22"/>
      <c r="B23" s="125">
        <v>2026</v>
      </c>
      <c r="C23" s="98">
        <v>5412000</v>
      </c>
      <c r="D23" s="99">
        <v>17100</v>
      </c>
      <c r="E23" s="96"/>
      <c r="F23" s="126" t="s">
        <v>118</v>
      </c>
      <c r="G23" s="127">
        <v>1.1299999999999999</v>
      </c>
      <c r="H23" s="115"/>
      <c r="I23" s="97" t="s">
        <v>132</v>
      </c>
      <c r="J23" s="99"/>
      <c r="K23" s="113">
        <v>0.1</v>
      </c>
      <c r="L23" s="17"/>
      <c r="M23" s="18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</row>
    <row r="24" spans="1:40" ht="15" customHeight="1" x14ac:dyDescent="0.25">
      <c r="A24" s="22"/>
      <c r="B24" s="125">
        <v>2027</v>
      </c>
      <c r="C24" s="98">
        <v>5683000</v>
      </c>
      <c r="D24" s="99">
        <v>18500</v>
      </c>
      <c r="E24" s="96"/>
      <c r="F24" s="126" t="s">
        <v>119</v>
      </c>
      <c r="G24" s="127">
        <v>1.02</v>
      </c>
      <c r="H24" s="115"/>
      <c r="I24" s="97" t="s">
        <v>120</v>
      </c>
      <c r="J24" s="99"/>
      <c r="K24" s="128">
        <v>35</v>
      </c>
      <c r="L24" s="17"/>
      <c r="M24" s="18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</row>
    <row r="25" spans="1:40" ht="15" customHeight="1" x14ac:dyDescent="0.25">
      <c r="A25" s="22"/>
      <c r="B25" s="129">
        <v>2028</v>
      </c>
      <c r="C25" s="105">
        <v>6024000</v>
      </c>
      <c r="D25" s="106">
        <v>20000</v>
      </c>
      <c r="E25" s="96"/>
      <c r="F25" s="130" t="s">
        <v>121</v>
      </c>
      <c r="G25" s="131">
        <v>1</v>
      </c>
      <c r="H25" s="115"/>
      <c r="I25" s="132" t="s">
        <v>122</v>
      </c>
      <c r="J25" s="133"/>
      <c r="K25" s="134">
        <v>0.04</v>
      </c>
      <c r="L25" s="17"/>
      <c r="M25" s="18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</row>
    <row r="26" spans="1:40" ht="15" customHeight="1" x14ac:dyDescent="0.25">
      <c r="A26" s="22"/>
      <c r="B26" s="96"/>
      <c r="C26" s="96"/>
      <c r="D26" s="96"/>
      <c r="E26" s="96"/>
      <c r="F26" s="96"/>
      <c r="G26" s="96"/>
      <c r="H26" s="96"/>
      <c r="I26" s="96"/>
      <c r="J26" s="96"/>
      <c r="K26" s="96"/>
      <c r="L26" s="17"/>
      <c r="M26" s="18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</row>
    <row r="27" spans="1:40" ht="15" customHeight="1" x14ac:dyDescent="0.25">
      <c r="A27" s="22"/>
      <c r="B27" s="135" t="s">
        <v>123</v>
      </c>
      <c r="C27" s="115"/>
      <c r="D27" s="115"/>
      <c r="E27" s="96"/>
      <c r="F27" s="114"/>
      <c r="G27" s="96"/>
      <c r="H27" s="96"/>
      <c r="I27" s="96" t="s">
        <v>133</v>
      </c>
      <c r="J27" s="96"/>
      <c r="K27" s="96"/>
      <c r="L27" s="17"/>
      <c r="M27" s="18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</row>
    <row r="28" spans="1:40" ht="15" customHeight="1" x14ac:dyDescent="0.25">
      <c r="A28" s="22"/>
      <c r="B28" s="115"/>
      <c r="C28" s="115"/>
      <c r="D28" s="115"/>
      <c r="E28" s="96"/>
      <c r="F28" s="96"/>
      <c r="G28" s="96"/>
      <c r="H28" s="96"/>
      <c r="I28" s="136" t="s">
        <v>125</v>
      </c>
      <c r="J28" s="96"/>
      <c r="K28" s="96"/>
      <c r="L28" s="17"/>
      <c r="M28" s="1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</row>
    <row r="29" spans="1:40" ht="15" customHeight="1" x14ac:dyDescent="0.25">
      <c r="A29" s="22"/>
      <c r="B29" s="92" t="s">
        <v>126</v>
      </c>
      <c r="C29" s="94"/>
      <c r="D29" s="137">
        <v>0.04</v>
      </c>
      <c r="E29" s="96"/>
      <c r="F29" s="96"/>
      <c r="G29" s="96"/>
      <c r="H29" s="96"/>
      <c r="I29" s="96"/>
      <c r="J29" s="96"/>
      <c r="K29" s="115"/>
      <c r="L29" s="17"/>
      <c r="M29" s="18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</row>
    <row r="30" spans="1:40" ht="15" customHeight="1" x14ac:dyDescent="0.25">
      <c r="A30" s="22"/>
      <c r="B30" s="104" t="s">
        <v>127</v>
      </c>
      <c r="C30" s="106"/>
      <c r="D30" s="138">
        <v>-0.01</v>
      </c>
      <c r="E30" s="96"/>
      <c r="F30" s="96"/>
      <c r="G30" s="96"/>
      <c r="H30" s="96"/>
      <c r="I30" s="96"/>
      <c r="J30" s="96"/>
      <c r="K30" s="115"/>
      <c r="L30" s="17"/>
      <c r="M30" s="18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</row>
    <row r="31" spans="1:40" ht="15" customHeight="1" x14ac:dyDescent="0.25">
      <c r="A31" s="22"/>
      <c r="B31" s="115"/>
      <c r="C31" s="115"/>
      <c r="D31" s="115"/>
      <c r="E31" s="115"/>
      <c r="F31" s="96"/>
      <c r="G31" s="96"/>
      <c r="H31" s="96"/>
      <c r="I31" s="96"/>
      <c r="J31" s="96"/>
      <c r="K31" s="115"/>
      <c r="L31" s="17"/>
      <c r="M31" s="18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</row>
    <row r="32" spans="1:40" ht="15" customHeight="1" x14ac:dyDescent="0.25">
      <c r="A32" s="22"/>
      <c r="B32" s="114" t="s">
        <v>124</v>
      </c>
      <c r="C32" s="96"/>
      <c r="D32" s="96"/>
      <c r="E32" s="96"/>
      <c r="F32" s="96"/>
      <c r="G32" s="96"/>
      <c r="H32" s="96"/>
      <c r="I32" s="96"/>
      <c r="J32" s="96"/>
      <c r="K32" s="96"/>
      <c r="L32" s="17"/>
      <c r="M32" s="18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</row>
    <row r="33" spans="1:40" ht="15" customHeight="1" x14ac:dyDescent="0.25">
      <c r="A33" s="22"/>
      <c r="B33" s="96"/>
      <c r="C33" s="96"/>
      <c r="D33" s="96"/>
      <c r="E33" s="96"/>
      <c r="F33" s="96"/>
      <c r="G33" s="96"/>
      <c r="H33" s="96"/>
      <c r="I33" s="96"/>
      <c r="J33" s="96"/>
      <c r="K33" s="96"/>
      <c r="L33" s="17"/>
      <c r="M33" s="18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</row>
    <row r="34" spans="1:40" ht="15" customHeight="1" x14ac:dyDescent="0.25">
      <c r="A34" s="22"/>
      <c r="B34" s="132" t="s">
        <v>128</v>
      </c>
      <c r="C34" s="133"/>
      <c r="D34" s="139">
        <v>2029</v>
      </c>
      <c r="E34" s="140">
        <v>10</v>
      </c>
      <c r="F34" s="141">
        <v>1</v>
      </c>
      <c r="G34" s="150" t="s">
        <v>134</v>
      </c>
      <c r="H34" s="99"/>
      <c r="I34" s="96"/>
      <c r="J34" s="96"/>
      <c r="K34" s="96"/>
      <c r="L34" s="17"/>
      <c r="M34" s="18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</row>
    <row r="35" spans="1:40" ht="15" customHeight="1" x14ac:dyDescent="0.25">
      <c r="A35" s="22"/>
      <c r="B35" s="97" t="s">
        <v>129</v>
      </c>
      <c r="C35" s="99"/>
      <c r="D35" s="142">
        <v>18</v>
      </c>
      <c r="E35" s="98" t="s">
        <v>130</v>
      </c>
      <c r="F35" s="143"/>
      <c r="G35" s="149"/>
      <c r="H35" s="98"/>
      <c r="I35" s="96"/>
      <c r="J35" s="96"/>
      <c r="K35" s="96"/>
      <c r="L35" s="17"/>
      <c r="M35" s="18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</row>
    <row r="36" spans="1:40" ht="15" customHeight="1" x14ac:dyDescent="0.25">
      <c r="A36" s="22"/>
      <c r="B36" s="104" t="s">
        <v>131</v>
      </c>
      <c r="C36" s="106"/>
      <c r="D36" s="144">
        <v>12</v>
      </c>
      <c r="E36" s="105" t="s">
        <v>130</v>
      </c>
      <c r="F36" s="145"/>
      <c r="G36" s="149"/>
      <c r="H36" s="98"/>
      <c r="I36" s="96"/>
      <c r="J36" s="96"/>
      <c r="K36" s="96"/>
      <c r="L36" s="17"/>
      <c r="M36" s="18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</row>
    <row r="37" spans="1:40" ht="15" customHeight="1" thickBot="1" x14ac:dyDescent="0.3">
      <c r="A37" s="24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3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</row>
    <row r="38" spans="1:40" ht="15" customHeight="1" x14ac:dyDescent="0.25"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</row>
    <row r="39" spans="1:40" ht="15" customHeight="1" x14ac:dyDescent="0.25"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</row>
    <row r="40" spans="1:40" ht="15" customHeight="1" x14ac:dyDescent="0.25"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</row>
    <row r="41" spans="1:40" ht="15" customHeight="1" x14ac:dyDescent="0.25"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</row>
    <row r="42" spans="1:40" ht="15" customHeight="1" x14ac:dyDescent="0.25"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</row>
    <row r="43" spans="1:40" ht="15" customHeight="1" x14ac:dyDescent="0.25"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</row>
    <row r="44" spans="1:40" ht="15" customHeight="1" x14ac:dyDescent="0.25"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</row>
    <row r="45" spans="1:40" ht="15" customHeight="1" x14ac:dyDescent="0.25"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</row>
    <row r="46" spans="1:40" ht="15" customHeight="1" x14ac:dyDescent="0.25"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</row>
    <row r="47" spans="1:40" ht="15" customHeight="1" x14ac:dyDescent="0.25"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</row>
    <row r="48" spans="1:40" ht="15" customHeight="1" x14ac:dyDescent="0.25"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</row>
    <row r="49" spans="2:40" ht="15" customHeight="1" x14ac:dyDescent="0.25"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</row>
    <row r="50" spans="2:40" ht="15" customHeight="1" x14ac:dyDescent="0.25"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</row>
    <row r="51" spans="2:40" ht="15" customHeight="1" x14ac:dyDescent="0.25"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</row>
    <row r="52" spans="2:40" ht="15" customHeight="1" x14ac:dyDescent="0.25"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</row>
    <row r="53" spans="2:40" ht="15" customHeight="1" x14ac:dyDescent="0.25"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</row>
    <row r="54" spans="2:40" ht="15" customHeight="1" x14ac:dyDescent="0.25"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</row>
    <row r="55" spans="2:40" ht="15" customHeight="1" x14ac:dyDescent="0.25"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</row>
    <row r="56" spans="2:40" ht="15" customHeight="1" x14ac:dyDescent="0.25"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</row>
    <row r="57" spans="2:40" ht="15" customHeight="1" x14ac:dyDescent="0.25"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</row>
    <row r="58" spans="2:40" ht="15" customHeight="1" x14ac:dyDescent="0.25"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</row>
    <row r="59" spans="2:40" ht="15" customHeight="1" x14ac:dyDescent="0.25"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</row>
    <row r="60" spans="2:40" ht="15" customHeight="1" x14ac:dyDescent="0.25"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</row>
    <row r="61" spans="2:40" ht="15" customHeight="1" x14ac:dyDescent="0.25"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</row>
    <row r="62" spans="2:40" ht="15" customHeight="1" x14ac:dyDescent="0.25"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</row>
    <row r="63" spans="2:40" ht="15" customHeight="1" x14ac:dyDescent="0.25"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</row>
    <row r="64" spans="2:40" ht="15" customHeight="1" x14ac:dyDescent="0.25"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</row>
    <row r="65" spans="2:40" ht="15" customHeight="1" x14ac:dyDescent="0.25"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</row>
    <row r="66" spans="2:40" ht="15" customHeight="1" x14ac:dyDescent="0.25"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</row>
    <row r="67" spans="2:40" ht="15" customHeight="1" x14ac:dyDescent="0.25"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</row>
    <row r="68" spans="2:40" ht="15" customHeight="1" x14ac:dyDescent="0.25"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</row>
    <row r="69" spans="2:40" ht="15" customHeight="1" x14ac:dyDescent="0.25"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</row>
    <row r="70" spans="2:40" ht="15" customHeight="1" x14ac:dyDescent="0.25"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</row>
    <row r="71" spans="2:40" ht="15" customHeight="1" x14ac:dyDescent="0.25"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</row>
    <row r="72" spans="2:40" ht="15" customHeight="1" x14ac:dyDescent="0.25"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</row>
    <row r="73" spans="2:40" ht="15" customHeight="1" x14ac:dyDescent="0.25"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</row>
    <row r="74" spans="2:40" ht="15" customHeight="1" x14ac:dyDescent="0.25"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</row>
    <row r="75" spans="2:40" ht="15" customHeight="1" x14ac:dyDescent="0.25"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</row>
    <row r="76" spans="2:40" ht="15" customHeight="1" x14ac:dyDescent="0.25"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</row>
    <row r="77" spans="2:40" ht="15" customHeight="1" x14ac:dyDescent="0.25"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</row>
    <row r="78" spans="2:40" ht="15" customHeight="1" x14ac:dyDescent="0.25"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</row>
    <row r="79" spans="2:40" ht="15" customHeight="1" x14ac:dyDescent="0.25"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</row>
    <row r="80" spans="2:40" ht="15" customHeight="1" x14ac:dyDescent="0.25"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</row>
    <row r="81" spans="2:40" ht="15" customHeight="1" x14ac:dyDescent="0.25"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</row>
    <row r="82" spans="2:40" ht="15" customHeight="1" x14ac:dyDescent="0.25"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</row>
    <row r="83" spans="2:40" ht="15" customHeight="1" x14ac:dyDescent="0.25"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</row>
    <row r="84" spans="2:40" ht="15" customHeight="1" x14ac:dyDescent="0.25"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</row>
    <row r="85" spans="2:40" ht="15" customHeight="1" x14ac:dyDescent="0.25"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</row>
    <row r="86" spans="2:40" ht="15" customHeight="1" x14ac:dyDescent="0.25"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</row>
    <row r="87" spans="2:40" ht="15" customHeight="1" x14ac:dyDescent="0.25"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</row>
    <row r="88" spans="2:40" ht="15" customHeight="1" x14ac:dyDescent="0.25"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</row>
    <row r="89" spans="2:40" ht="15" customHeight="1" x14ac:dyDescent="0.25"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</row>
    <row r="90" spans="2:40" ht="15" customHeight="1" x14ac:dyDescent="0.25"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</row>
    <row r="91" spans="2:40" ht="15" customHeight="1" x14ac:dyDescent="0.25"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</row>
    <row r="92" spans="2:40" ht="15" customHeight="1" x14ac:dyDescent="0.25"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</row>
    <row r="93" spans="2:40" ht="15" customHeight="1" x14ac:dyDescent="0.25"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</row>
    <row r="94" spans="2:40" ht="15" customHeight="1" x14ac:dyDescent="0.25"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</row>
    <row r="95" spans="2:40" ht="15" customHeight="1" x14ac:dyDescent="0.25"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</row>
    <row r="96" spans="2:40" ht="15" customHeight="1" x14ac:dyDescent="0.25"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</row>
    <row r="97" spans="2:40" ht="15" customHeight="1" x14ac:dyDescent="0.25"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</row>
    <row r="98" spans="2:40" ht="15" customHeight="1" x14ac:dyDescent="0.25"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</row>
    <row r="99" spans="2:40" ht="15" customHeight="1" x14ac:dyDescent="0.25"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</row>
    <row r="100" spans="2:40" ht="15" customHeight="1" x14ac:dyDescent="0.25"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</row>
    <row r="101" spans="2:40" ht="15" customHeight="1" x14ac:dyDescent="0.25"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</row>
  </sheetData>
  <mergeCells count="1">
    <mergeCell ref="L1:M1"/>
  </mergeCells>
  <conditionalFormatting sqref="B1">
    <cfRule type="cellIs" dxfId="56" priority="1" operator="equal">
      <formula>"Incomplete"</formula>
    </cfRule>
    <cfRule type="cellIs" dxfId="55" priority="2" operator="equal">
      <formula>"Flag for Review"</formula>
    </cfRule>
    <cfRule type="cellIs" dxfId="54" priority="3" operator="equal">
      <formula>"Finished"</formula>
    </cfRule>
  </conditionalFormatting>
  <dataValidations count="1">
    <dataValidation type="list" allowBlank="1" showInputMessage="1" showErrorMessage="1" sqref="B1">
      <formula1>"Finished, Flag for Review, Incomplete"</formula1>
    </dataValidation>
  </dataValidations>
  <hyperlinks>
    <hyperlink ref="L1" location="'Point Grid'!A8" display="Return to Point Grid"/>
    <hyperlink ref="L1:M1" location="'Point Grid'!A1" display="Return to Point Grid"/>
  </hyperlink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U101"/>
  <sheetViews>
    <sheetView zoomScaleNormal="100" workbookViewId="0"/>
  </sheetViews>
  <sheetFormatPr defaultColWidth="9.140625" defaultRowHeight="15" x14ac:dyDescent="0.25"/>
  <cols>
    <col min="1" max="1" width="9.140625" style="21"/>
    <col min="2" max="2" width="16" style="21" bestFit="1" customWidth="1"/>
    <col min="3" max="9" width="11.140625" style="21" customWidth="1"/>
    <col min="10" max="16384" width="9.140625" style="21"/>
  </cols>
  <sheetData>
    <row r="1" spans="1:21" x14ac:dyDescent="0.25">
      <c r="A1" s="7">
        <v>13</v>
      </c>
      <c r="B1" s="27" t="s">
        <v>12</v>
      </c>
      <c r="C1" s="20"/>
      <c r="D1" s="20"/>
      <c r="E1" s="20"/>
      <c r="F1" s="20"/>
      <c r="G1" s="20"/>
      <c r="H1" s="384" t="s">
        <v>24</v>
      </c>
      <c r="I1" s="385"/>
      <c r="K1"/>
      <c r="L1"/>
      <c r="M1"/>
      <c r="N1"/>
      <c r="O1"/>
      <c r="P1"/>
      <c r="Q1"/>
      <c r="R1"/>
      <c r="S1"/>
      <c r="T1"/>
      <c r="U1"/>
    </row>
    <row r="2" spans="1:21" x14ac:dyDescent="0.25">
      <c r="A2" s="22"/>
      <c r="B2" s="19"/>
      <c r="C2" s="19"/>
      <c r="D2" s="19"/>
      <c r="E2" s="19"/>
      <c r="F2" s="19"/>
      <c r="G2" s="19"/>
      <c r="H2" s="19"/>
      <c r="I2" s="23"/>
      <c r="K2"/>
      <c r="L2"/>
      <c r="M2"/>
      <c r="N2"/>
      <c r="O2"/>
      <c r="P2"/>
      <c r="Q2"/>
      <c r="R2"/>
      <c r="S2"/>
      <c r="T2"/>
      <c r="U2"/>
    </row>
    <row r="3" spans="1:21" x14ac:dyDescent="0.25">
      <c r="A3" s="8" t="s">
        <v>13</v>
      </c>
      <c r="B3" s="17"/>
      <c r="C3" s="17"/>
      <c r="D3" s="17"/>
      <c r="E3" s="17"/>
      <c r="F3" s="17"/>
      <c r="G3" s="17"/>
      <c r="H3" s="17"/>
      <c r="I3" s="18"/>
      <c r="J3" s="31"/>
      <c r="K3"/>
      <c r="L3"/>
      <c r="M3"/>
      <c r="N3"/>
      <c r="O3"/>
      <c r="P3"/>
      <c r="Q3"/>
      <c r="R3"/>
      <c r="S3"/>
      <c r="T3"/>
      <c r="U3"/>
    </row>
    <row r="4" spans="1:21" x14ac:dyDescent="0.25">
      <c r="A4" s="9">
        <f>INDEX('Point Grid'!B:B,MATCH(A1,'Point Grid'!A:A,0))</f>
        <v>3.75</v>
      </c>
      <c r="B4" s="17"/>
      <c r="C4" s="17"/>
      <c r="D4" s="17"/>
      <c r="E4" s="17"/>
      <c r="F4" s="17"/>
      <c r="G4" s="17"/>
      <c r="H4" s="17"/>
      <c r="I4" s="18"/>
      <c r="J4" s="31"/>
      <c r="K4"/>
      <c r="L4"/>
      <c r="M4"/>
      <c r="N4"/>
      <c r="O4"/>
      <c r="P4"/>
      <c r="Q4"/>
      <c r="R4"/>
      <c r="S4"/>
      <c r="T4"/>
      <c r="U4"/>
    </row>
    <row r="5" spans="1:21" x14ac:dyDescent="0.25">
      <c r="A5" s="16"/>
      <c r="B5" s="17"/>
      <c r="C5" s="17"/>
      <c r="D5" s="17"/>
      <c r="E5" s="17"/>
      <c r="F5" s="17"/>
      <c r="G5" s="17"/>
      <c r="H5" s="17"/>
      <c r="I5" s="18"/>
      <c r="J5" s="31"/>
      <c r="K5"/>
      <c r="L5"/>
      <c r="M5"/>
      <c r="N5"/>
      <c r="O5"/>
      <c r="P5"/>
      <c r="Q5"/>
      <c r="R5"/>
      <c r="S5"/>
      <c r="T5"/>
      <c r="U5"/>
    </row>
    <row r="6" spans="1:21" x14ac:dyDescent="0.25">
      <c r="A6" s="25" t="s">
        <v>2</v>
      </c>
      <c r="B6" s="17" t="s">
        <v>135</v>
      </c>
      <c r="C6" s="17"/>
      <c r="D6" s="17"/>
      <c r="E6" s="17"/>
      <c r="F6" s="17"/>
      <c r="G6" s="17"/>
      <c r="H6" s="17"/>
      <c r="I6" s="18"/>
      <c r="J6" s="31"/>
      <c r="K6"/>
      <c r="L6"/>
      <c r="M6"/>
      <c r="N6"/>
      <c r="O6"/>
      <c r="P6"/>
      <c r="Q6"/>
      <c r="R6"/>
      <c r="S6"/>
      <c r="T6"/>
      <c r="U6"/>
    </row>
    <row r="7" spans="1:21" ht="15.75" thickBot="1" x14ac:dyDescent="0.3">
      <c r="A7" s="9">
        <f>INDEX('Point Grid'!$C$8:$I$54,MATCH($A$1,'Point Grid'!$A$8:$A$54,0),MATCH(A6,'Point Grid'!$C$7:$I$7,0))</f>
        <v>1</v>
      </c>
      <c r="B7" s="17" t="s">
        <v>136</v>
      </c>
      <c r="C7" s="17"/>
      <c r="D7" s="17"/>
      <c r="E7" s="17"/>
      <c r="F7" s="17"/>
      <c r="G7" s="17"/>
      <c r="H7" s="17"/>
      <c r="I7" s="18"/>
      <c r="J7" s="31"/>
      <c r="K7"/>
      <c r="L7"/>
      <c r="M7"/>
      <c r="N7"/>
      <c r="O7"/>
      <c r="P7"/>
      <c r="Q7"/>
      <c r="R7"/>
      <c r="S7"/>
      <c r="T7"/>
      <c r="U7"/>
    </row>
    <row r="8" spans="1:21" ht="15.75" thickBot="1" x14ac:dyDescent="0.3">
      <c r="A8" s="5"/>
      <c r="B8" s="17"/>
      <c r="C8" s="28"/>
      <c r="D8" s="28"/>
      <c r="E8" s="28"/>
      <c r="F8" s="28"/>
      <c r="G8" s="28"/>
      <c r="H8" s="28"/>
      <c r="I8" s="18"/>
      <c r="J8" s="31"/>
      <c r="K8"/>
      <c r="L8"/>
      <c r="M8"/>
      <c r="N8"/>
      <c r="O8"/>
      <c r="P8"/>
      <c r="Q8"/>
      <c r="R8"/>
      <c r="S8"/>
      <c r="T8"/>
      <c r="U8"/>
    </row>
    <row r="9" spans="1:21" x14ac:dyDescent="0.25">
      <c r="A9" s="25"/>
      <c r="B9" s="17"/>
      <c r="C9" s="17"/>
      <c r="D9" s="17"/>
      <c r="E9" s="17"/>
      <c r="F9" s="17"/>
      <c r="G9" s="17"/>
      <c r="H9" s="17"/>
      <c r="I9" s="18"/>
      <c r="J9" s="31"/>
      <c r="K9"/>
      <c r="L9"/>
      <c r="M9"/>
      <c r="N9"/>
      <c r="O9"/>
      <c r="P9"/>
      <c r="Q9"/>
      <c r="R9"/>
      <c r="S9"/>
      <c r="T9"/>
      <c r="U9"/>
    </row>
    <row r="10" spans="1:21" x14ac:dyDescent="0.25">
      <c r="A10" s="25" t="s">
        <v>3</v>
      </c>
      <c r="B10" s="17" t="s">
        <v>156</v>
      </c>
      <c r="C10" s="17"/>
      <c r="D10" s="17"/>
      <c r="E10" s="17"/>
      <c r="F10" s="17"/>
      <c r="G10" s="17"/>
      <c r="H10" s="17"/>
      <c r="I10" s="18"/>
      <c r="J10" s="31"/>
      <c r="K10"/>
      <c r="L10"/>
      <c r="M10"/>
      <c r="N10"/>
      <c r="O10"/>
      <c r="P10"/>
      <c r="Q10"/>
      <c r="R10"/>
      <c r="S10"/>
      <c r="T10"/>
      <c r="U10"/>
    </row>
    <row r="11" spans="1:21" ht="15.75" thickBot="1" x14ac:dyDescent="0.3">
      <c r="A11" s="9">
        <f>INDEX('Point Grid'!$C$8:$I$54,MATCH($A$1,'Point Grid'!$A$8:$A$54,0),MATCH(A10,'Point Grid'!$C$7:$I$7,0))</f>
        <v>1.25</v>
      </c>
      <c r="B11" s="17" t="s">
        <v>157</v>
      </c>
      <c r="C11" s="17"/>
      <c r="D11" s="17"/>
      <c r="E11" s="17"/>
      <c r="F11" s="17"/>
      <c r="G11" s="17"/>
      <c r="H11" s="17"/>
      <c r="I11" s="18"/>
      <c r="J11" s="31"/>
      <c r="K11"/>
      <c r="L11"/>
      <c r="M11"/>
      <c r="N11"/>
      <c r="O11"/>
      <c r="P11"/>
      <c r="Q11"/>
      <c r="R11"/>
      <c r="S11"/>
      <c r="T11"/>
      <c r="U11"/>
    </row>
    <row r="12" spans="1:21" ht="15.75" thickBot="1" x14ac:dyDescent="0.3">
      <c r="A12" s="5"/>
      <c r="B12" s="65" t="s">
        <v>158</v>
      </c>
      <c r="C12" s="65"/>
      <c r="D12" s="65"/>
      <c r="E12" s="28"/>
      <c r="F12" s="28"/>
      <c r="G12" s="28"/>
      <c r="H12" s="28"/>
      <c r="I12" s="18"/>
      <c r="J12" s="31"/>
      <c r="K12"/>
      <c r="L12"/>
      <c r="M12"/>
      <c r="N12"/>
      <c r="O12"/>
      <c r="P12"/>
      <c r="Q12"/>
      <c r="R12"/>
      <c r="S12"/>
      <c r="T12"/>
      <c r="U12"/>
    </row>
    <row r="13" spans="1:21" x14ac:dyDescent="0.25">
      <c r="A13" s="25"/>
      <c r="B13" s="65"/>
      <c r="C13" s="151" t="s">
        <v>143</v>
      </c>
      <c r="D13" s="152"/>
      <c r="E13" s="28"/>
      <c r="F13" s="28"/>
      <c r="G13" s="28"/>
      <c r="H13" s="28"/>
      <c r="I13" s="18"/>
      <c r="J13" s="31"/>
      <c r="K13"/>
      <c r="L13"/>
      <c r="M13"/>
      <c r="N13"/>
      <c r="O13"/>
      <c r="P13"/>
      <c r="Q13"/>
      <c r="R13"/>
      <c r="S13"/>
      <c r="T13"/>
      <c r="U13"/>
    </row>
    <row r="14" spans="1:21" x14ac:dyDescent="0.25">
      <c r="A14" s="22"/>
      <c r="B14" s="35">
        <v>1</v>
      </c>
      <c r="C14" s="28" t="s">
        <v>142</v>
      </c>
      <c r="D14" s="28"/>
      <c r="E14" s="28"/>
      <c r="F14" s="28"/>
      <c r="G14" s="28"/>
      <c r="H14" s="17"/>
      <c r="I14" s="18"/>
      <c r="J14" s="31"/>
      <c r="K14"/>
      <c r="L14"/>
      <c r="M14"/>
      <c r="N14"/>
      <c r="O14"/>
      <c r="P14"/>
      <c r="Q14"/>
      <c r="R14"/>
      <c r="S14"/>
      <c r="T14"/>
      <c r="U14"/>
    </row>
    <row r="15" spans="1:21" x14ac:dyDescent="0.25">
      <c r="A15" s="22"/>
      <c r="B15" s="35">
        <v>2</v>
      </c>
      <c r="C15" s="28" t="s">
        <v>137</v>
      </c>
      <c r="D15" s="28"/>
      <c r="E15" s="28"/>
      <c r="F15" s="17"/>
      <c r="G15" s="17"/>
      <c r="H15" s="17"/>
      <c r="I15" s="18"/>
      <c r="J15" s="31"/>
      <c r="K15"/>
      <c r="L15"/>
      <c r="M15"/>
      <c r="N15"/>
      <c r="O15"/>
      <c r="P15"/>
      <c r="Q15"/>
      <c r="R15"/>
      <c r="S15"/>
      <c r="T15"/>
      <c r="U15"/>
    </row>
    <row r="16" spans="1:21" x14ac:dyDescent="0.25">
      <c r="A16" s="22"/>
      <c r="B16" s="35">
        <v>3</v>
      </c>
      <c r="C16" s="17" t="s">
        <v>138</v>
      </c>
      <c r="D16" s="17"/>
      <c r="E16" s="17"/>
      <c r="F16" s="17"/>
      <c r="G16" s="17"/>
      <c r="H16" s="17"/>
      <c r="I16" s="18"/>
      <c r="J16" s="31"/>
      <c r="K16"/>
      <c r="L16"/>
      <c r="M16"/>
      <c r="N16"/>
      <c r="O16"/>
      <c r="P16"/>
      <c r="Q16"/>
      <c r="R16"/>
      <c r="S16"/>
      <c r="T16"/>
      <c r="U16"/>
    </row>
    <row r="17" spans="1:21" x14ac:dyDescent="0.25">
      <c r="A17" s="22"/>
      <c r="B17" s="35">
        <v>4</v>
      </c>
      <c r="C17" s="17" t="s">
        <v>139</v>
      </c>
      <c r="D17" s="17"/>
      <c r="E17" s="17"/>
      <c r="F17" s="17"/>
      <c r="G17" s="17"/>
      <c r="H17" s="17"/>
      <c r="I17" s="18"/>
      <c r="J17" s="31"/>
      <c r="K17"/>
      <c r="L17"/>
      <c r="M17"/>
      <c r="N17"/>
      <c r="O17"/>
      <c r="P17"/>
      <c r="Q17"/>
      <c r="R17"/>
      <c r="S17"/>
      <c r="T17"/>
      <c r="U17"/>
    </row>
    <row r="18" spans="1:21" ht="15" customHeight="1" x14ac:dyDescent="0.25">
      <c r="A18" s="22"/>
      <c r="B18" s="35">
        <v>5</v>
      </c>
      <c r="C18" s="17" t="s">
        <v>140</v>
      </c>
      <c r="D18" s="17"/>
      <c r="E18" s="17"/>
      <c r="F18" s="17"/>
      <c r="G18" s="17"/>
      <c r="H18" s="17"/>
      <c r="I18" s="18"/>
      <c r="J18" s="31"/>
      <c r="K18"/>
      <c r="L18"/>
      <c r="M18"/>
      <c r="N18"/>
      <c r="O18"/>
      <c r="P18"/>
      <c r="Q18"/>
      <c r="R18"/>
      <c r="S18"/>
      <c r="T18"/>
      <c r="U18"/>
    </row>
    <row r="19" spans="1:21" ht="15" customHeight="1" x14ac:dyDescent="0.25">
      <c r="A19" s="22"/>
      <c r="B19" s="35">
        <v>6</v>
      </c>
      <c r="C19" s="17" t="s">
        <v>141</v>
      </c>
      <c r="D19" s="17"/>
      <c r="E19" s="17"/>
      <c r="F19" s="17"/>
      <c r="G19" s="17"/>
      <c r="H19" s="17"/>
      <c r="I19" s="18"/>
      <c r="J19" s="31"/>
      <c r="K19"/>
      <c r="L19"/>
      <c r="M19"/>
      <c r="N19"/>
      <c r="O19"/>
      <c r="P19"/>
      <c r="Q19"/>
      <c r="R19"/>
      <c r="S19"/>
      <c r="T19"/>
      <c r="U19"/>
    </row>
    <row r="20" spans="1:21" ht="15" customHeight="1" x14ac:dyDescent="0.25">
      <c r="A20" s="22"/>
      <c r="B20" s="17"/>
      <c r="C20" s="17"/>
      <c r="D20" s="17"/>
      <c r="E20" s="17"/>
      <c r="F20" s="17"/>
      <c r="G20" s="17"/>
      <c r="H20" s="17"/>
      <c r="I20" s="18"/>
      <c r="J20" s="31"/>
      <c r="K20"/>
      <c r="L20"/>
      <c r="M20"/>
      <c r="N20"/>
      <c r="O20"/>
      <c r="P20"/>
      <c r="Q20"/>
      <c r="R20"/>
      <c r="S20"/>
      <c r="T20"/>
      <c r="U20"/>
    </row>
    <row r="21" spans="1:21" ht="15" customHeight="1" x14ac:dyDescent="0.25">
      <c r="A21" s="22"/>
      <c r="B21" s="17"/>
      <c r="C21" s="153" t="s">
        <v>144</v>
      </c>
      <c r="D21" s="71"/>
      <c r="E21" s="71"/>
      <c r="F21" s="71"/>
      <c r="G21" s="71"/>
      <c r="H21" s="17"/>
      <c r="I21" s="18"/>
      <c r="J21" s="31"/>
      <c r="K21"/>
      <c r="L21"/>
      <c r="M21"/>
      <c r="N21"/>
      <c r="O21"/>
      <c r="P21"/>
      <c r="Q21"/>
      <c r="R21"/>
      <c r="S21"/>
      <c r="T21"/>
      <c r="U21"/>
    </row>
    <row r="22" spans="1:21" ht="15" customHeight="1" x14ac:dyDescent="0.25">
      <c r="A22" s="22"/>
      <c r="B22" s="35" t="s">
        <v>145</v>
      </c>
      <c r="C22" s="65" t="s">
        <v>152</v>
      </c>
      <c r="D22" s="17"/>
      <c r="E22" s="17"/>
      <c r="F22" s="17"/>
      <c r="G22" s="17"/>
      <c r="H22" s="17"/>
      <c r="I22" s="18"/>
      <c r="J22" s="31"/>
      <c r="K22"/>
      <c r="L22"/>
      <c r="M22"/>
      <c r="N22"/>
      <c r="O22"/>
      <c r="P22"/>
      <c r="Q22"/>
      <c r="R22"/>
      <c r="S22"/>
      <c r="T22"/>
      <c r="U22"/>
    </row>
    <row r="23" spans="1:21" ht="15" customHeight="1" x14ac:dyDescent="0.25">
      <c r="A23" s="22"/>
      <c r="B23" s="35" t="s">
        <v>146</v>
      </c>
      <c r="C23" s="65" t="s">
        <v>155</v>
      </c>
      <c r="D23" s="17"/>
      <c r="E23" s="17"/>
      <c r="F23" s="17"/>
      <c r="G23" s="17"/>
      <c r="H23" s="17"/>
      <c r="I23" s="18"/>
      <c r="J23" s="31"/>
      <c r="K23"/>
      <c r="L23"/>
      <c r="M23"/>
      <c r="N23"/>
      <c r="O23"/>
      <c r="P23"/>
      <c r="Q23"/>
      <c r="R23"/>
      <c r="S23"/>
      <c r="T23"/>
      <c r="U23"/>
    </row>
    <row r="24" spans="1:21" ht="15" customHeight="1" x14ac:dyDescent="0.25">
      <c r="A24" s="22"/>
      <c r="B24" s="35" t="s">
        <v>147</v>
      </c>
      <c r="C24" s="17" t="s">
        <v>150</v>
      </c>
      <c r="D24" s="17"/>
      <c r="E24" s="17"/>
      <c r="F24" s="17"/>
      <c r="G24" s="17"/>
      <c r="H24" s="17"/>
      <c r="I24" s="18"/>
      <c r="J24" s="31"/>
      <c r="K24"/>
      <c r="L24"/>
      <c r="M24"/>
      <c r="N24"/>
      <c r="O24"/>
      <c r="P24"/>
      <c r="Q24"/>
      <c r="R24"/>
      <c r="S24"/>
      <c r="T24"/>
      <c r="U24"/>
    </row>
    <row r="25" spans="1:21" ht="15" customHeight="1" x14ac:dyDescent="0.25">
      <c r="A25" s="22"/>
      <c r="B25" s="35" t="s">
        <v>148</v>
      </c>
      <c r="C25" s="17" t="s">
        <v>154</v>
      </c>
      <c r="D25" s="17"/>
      <c r="E25" s="17"/>
      <c r="F25" s="17"/>
      <c r="G25" s="17"/>
      <c r="H25" s="17"/>
      <c r="I25" s="18"/>
      <c r="J25" s="31"/>
      <c r="K25"/>
      <c r="L25"/>
      <c r="M25"/>
      <c r="N25"/>
      <c r="O25"/>
      <c r="P25"/>
      <c r="Q25"/>
      <c r="R25"/>
      <c r="S25"/>
      <c r="T25"/>
      <c r="U25"/>
    </row>
    <row r="26" spans="1:21" ht="15" customHeight="1" x14ac:dyDescent="0.25">
      <c r="A26" s="22"/>
      <c r="B26" s="35" t="s">
        <v>149</v>
      </c>
      <c r="C26" s="17" t="s">
        <v>153</v>
      </c>
      <c r="D26" s="17"/>
      <c r="E26" s="17"/>
      <c r="F26" s="17"/>
      <c r="G26" s="17"/>
      <c r="H26" s="17"/>
      <c r="I26" s="18"/>
      <c r="J26" s="31"/>
      <c r="K26"/>
      <c r="L26"/>
      <c r="M26"/>
      <c r="N26"/>
      <c r="O26"/>
      <c r="P26"/>
      <c r="Q26"/>
      <c r="R26"/>
      <c r="S26"/>
      <c r="T26"/>
      <c r="U26"/>
    </row>
    <row r="27" spans="1:21" ht="15" customHeight="1" x14ac:dyDescent="0.25">
      <c r="A27" s="22"/>
      <c r="B27" s="35" t="s">
        <v>27</v>
      </c>
      <c r="C27" s="17" t="s">
        <v>151</v>
      </c>
      <c r="D27" s="17"/>
      <c r="E27" s="17"/>
      <c r="F27" s="17"/>
      <c r="G27" s="17"/>
      <c r="H27" s="17"/>
      <c r="I27" s="18"/>
      <c r="J27" s="31"/>
      <c r="K27"/>
      <c r="L27"/>
      <c r="M27"/>
      <c r="N27"/>
      <c r="O27"/>
      <c r="P27"/>
      <c r="Q27"/>
      <c r="R27"/>
      <c r="S27"/>
      <c r="T27"/>
      <c r="U27"/>
    </row>
    <row r="28" spans="1:21" ht="15" customHeight="1" x14ac:dyDescent="0.25">
      <c r="A28" s="22"/>
      <c r="B28" s="17"/>
      <c r="C28" s="17"/>
      <c r="D28" s="17"/>
      <c r="E28" s="17"/>
      <c r="F28" s="17"/>
      <c r="G28" s="17"/>
      <c r="H28" s="17"/>
      <c r="I28" s="18"/>
      <c r="J28" s="31"/>
      <c r="K28"/>
      <c r="L28"/>
      <c r="M28"/>
      <c r="N28"/>
      <c r="O28"/>
      <c r="P28"/>
      <c r="Q28"/>
      <c r="R28"/>
      <c r="S28"/>
      <c r="T28"/>
      <c r="U28"/>
    </row>
    <row r="29" spans="1:21" ht="15" customHeight="1" x14ac:dyDescent="0.25">
      <c r="A29" s="25" t="s">
        <v>4</v>
      </c>
      <c r="B29" s="96" t="s">
        <v>159</v>
      </c>
      <c r="C29" s="96"/>
      <c r="D29" s="96"/>
      <c r="E29" s="96"/>
      <c r="F29" s="96"/>
      <c r="G29" s="96"/>
      <c r="H29" s="162">
        <v>1</v>
      </c>
      <c r="I29" s="18"/>
      <c r="K29"/>
      <c r="L29"/>
      <c r="M29"/>
      <c r="N29"/>
      <c r="O29"/>
      <c r="P29"/>
      <c r="Q29"/>
      <c r="R29"/>
      <c r="S29"/>
      <c r="T29"/>
      <c r="U29"/>
    </row>
    <row r="30" spans="1:21" ht="15" customHeight="1" thickBot="1" x14ac:dyDescent="0.3">
      <c r="A30" s="9">
        <f>INDEX('Point Grid'!$C$8:$I$54,MATCH($A$1,'Point Grid'!$A$8:$A$54,0),MATCH(A29,'Point Grid'!$C$7:$I$7,0))</f>
        <v>1.5</v>
      </c>
      <c r="B30" s="96"/>
      <c r="C30" s="96"/>
      <c r="D30" s="96"/>
      <c r="E30" s="96"/>
      <c r="F30" s="96"/>
      <c r="G30" s="96"/>
      <c r="H30" s="96"/>
      <c r="I30" s="18"/>
      <c r="J30" s="91"/>
      <c r="K30"/>
      <c r="L30"/>
      <c r="M30"/>
      <c r="N30"/>
      <c r="O30"/>
      <c r="P30"/>
      <c r="Q30"/>
      <c r="R30"/>
      <c r="S30"/>
      <c r="T30"/>
      <c r="U30"/>
    </row>
    <row r="31" spans="1:21" ht="15" customHeight="1" thickBot="1" x14ac:dyDescent="0.3">
      <c r="A31" s="5"/>
      <c r="B31" s="96"/>
      <c r="C31" s="117" t="s">
        <v>160</v>
      </c>
      <c r="D31" s="155"/>
      <c r="E31" s="156"/>
      <c r="F31" s="96"/>
      <c r="G31" s="96"/>
      <c r="H31" s="96"/>
      <c r="I31" s="18"/>
      <c r="J31" s="91"/>
      <c r="K31"/>
      <c r="L31"/>
      <c r="M31"/>
      <c r="N31"/>
      <c r="O31"/>
      <c r="P31"/>
      <c r="Q31"/>
      <c r="R31"/>
      <c r="S31"/>
      <c r="T31"/>
      <c r="U31"/>
    </row>
    <row r="32" spans="1:21" ht="15" customHeight="1" x14ac:dyDescent="0.25">
      <c r="A32" s="22"/>
      <c r="B32" s="89"/>
      <c r="C32" s="157" t="s">
        <v>161</v>
      </c>
      <c r="D32" s="158"/>
      <c r="E32" s="159" t="s">
        <v>74</v>
      </c>
      <c r="F32" s="96"/>
      <c r="G32" s="96"/>
      <c r="H32" s="96"/>
      <c r="I32" s="18"/>
      <c r="J32" s="77"/>
      <c r="K32"/>
      <c r="L32"/>
      <c r="M32"/>
      <c r="N32"/>
      <c r="O32"/>
      <c r="P32"/>
      <c r="Q32"/>
      <c r="R32"/>
      <c r="S32"/>
      <c r="T32"/>
      <c r="U32"/>
    </row>
    <row r="33" spans="1:21" ht="15" customHeight="1" x14ac:dyDescent="0.25">
      <c r="A33" s="22"/>
      <c r="B33" s="89"/>
      <c r="C33" s="120" t="s">
        <v>162</v>
      </c>
      <c r="D33" s="160" t="s">
        <v>163</v>
      </c>
      <c r="E33" s="161" t="s">
        <v>164</v>
      </c>
      <c r="F33" s="96"/>
      <c r="G33" s="96"/>
      <c r="H33" s="96"/>
      <c r="I33" s="18"/>
      <c r="J33" s="77"/>
      <c r="K33"/>
      <c r="L33"/>
      <c r="M33"/>
      <c r="N33"/>
      <c r="O33"/>
      <c r="P33"/>
      <c r="Q33"/>
      <c r="R33"/>
      <c r="S33"/>
      <c r="T33"/>
      <c r="U33"/>
    </row>
    <row r="34" spans="1:21" ht="15" customHeight="1" x14ac:dyDescent="0.25">
      <c r="A34" s="22"/>
      <c r="B34" s="89"/>
      <c r="C34" s="157">
        <v>1</v>
      </c>
      <c r="D34" s="158">
        <v>195</v>
      </c>
      <c r="E34" s="159">
        <v>74100</v>
      </c>
      <c r="F34" s="96"/>
      <c r="G34" s="96"/>
      <c r="H34" s="96"/>
      <c r="I34" s="18"/>
      <c r="J34" s="77"/>
      <c r="K34"/>
      <c r="L34"/>
      <c r="M34"/>
      <c r="N34"/>
      <c r="O34"/>
      <c r="P34"/>
      <c r="Q34"/>
      <c r="R34"/>
      <c r="S34"/>
      <c r="T34"/>
      <c r="U34"/>
    </row>
    <row r="35" spans="1:21" ht="15" customHeight="1" x14ac:dyDescent="0.25">
      <c r="A35" s="22"/>
      <c r="B35" s="89"/>
      <c r="C35" s="157">
        <v>2</v>
      </c>
      <c r="D35" s="158">
        <v>423</v>
      </c>
      <c r="E35" s="159">
        <v>279180</v>
      </c>
      <c r="F35" s="96"/>
      <c r="G35" s="96"/>
      <c r="H35" s="96"/>
      <c r="I35" s="18"/>
      <c r="J35" s="77"/>
      <c r="K35"/>
      <c r="L35"/>
      <c r="M35"/>
      <c r="N35"/>
      <c r="O35"/>
      <c r="P35"/>
      <c r="Q35"/>
      <c r="R35"/>
      <c r="S35"/>
      <c r="T35"/>
      <c r="U35"/>
    </row>
    <row r="36" spans="1:21" ht="15" customHeight="1" x14ac:dyDescent="0.25">
      <c r="A36" s="22"/>
      <c r="B36" s="89"/>
      <c r="C36" s="120">
        <v>3</v>
      </c>
      <c r="D36" s="160">
        <v>224</v>
      </c>
      <c r="E36" s="161">
        <v>176960</v>
      </c>
      <c r="F36" s="96"/>
      <c r="G36" s="96"/>
      <c r="H36" s="96"/>
      <c r="I36" s="18"/>
      <c r="J36" s="77"/>
      <c r="K36"/>
      <c r="L36"/>
      <c r="M36"/>
      <c r="N36"/>
      <c r="O36"/>
      <c r="P36"/>
      <c r="Q36"/>
      <c r="R36"/>
      <c r="S36"/>
      <c r="T36"/>
      <c r="U36"/>
    </row>
    <row r="37" spans="1:21" ht="15" customHeight="1" x14ac:dyDescent="0.25">
      <c r="A37" s="22"/>
      <c r="B37" s="89"/>
      <c r="C37" s="89"/>
      <c r="D37" s="89"/>
      <c r="E37" s="96"/>
      <c r="F37" s="96"/>
      <c r="G37" s="96"/>
      <c r="H37" s="96"/>
      <c r="I37" s="18"/>
      <c r="J37" s="77"/>
      <c r="K37"/>
      <c r="L37"/>
      <c r="M37"/>
      <c r="N37"/>
      <c r="O37"/>
      <c r="P37"/>
      <c r="Q37"/>
      <c r="R37"/>
      <c r="S37"/>
      <c r="T37"/>
      <c r="U37"/>
    </row>
    <row r="38" spans="1:21" ht="15" customHeight="1" x14ac:dyDescent="0.25">
      <c r="A38" s="22"/>
      <c r="B38" s="17"/>
      <c r="C38" s="17"/>
      <c r="D38" s="17"/>
      <c r="E38" s="17"/>
      <c r="F38" s="17"/>
      <c r="G38" s="17"/>
      <c r="H38" s="17"/>
      <c r="I38" s="18"/>
      <c r="J38" s="31"/>
      <c r="K38"/>
      <c r="L38"/>
      <c r="M38"/>
      <c r="N38"/>
      <c r="O38"/>
      <c r="P38"/>
      <c r="Q38"/>
      <c r="R38"/>
      <c r="S38"/>
      <c r="T38"/>
      <c r="U38"/>
    </row>
    <row r="39" spans="1:21" ht="15" customHeight="1" x14ac:dyDescent="0.25">
      <c r="A39" s="22"/>
      <c r="B39" s="17"/>
      <c r="C39" s="17"/>
      <c r="D39" s="17"/>
      <c r="E39" s="17"/>
      <c r="F39" s="17"/>
      <c r="G39" s="17"/>
      <c r="H39" s="17"/>
      <c r="I39" s="18"/>
      <c r="J39" s="31"/>
      <c r="K39"/>
      <c r="L39"/>
      <c r="M39"/>
      <c r="N39"/>
      <c r="O39"/>
      <c r="P39"/>
      <c r="Q39"/>
      <c r="R39"/>
      <c r="S39"/>
      <c r="T39"/>
      <c r="U39"/>
    </row>
    <row r="40" spans="1:21" ht="15" customHeight="1" x14ac:dyDescent="0.25">
      <c r="A40" s="22"/>
      <c r="B40" s="17"/>
      <c r="C40" s="17"/>
      <c r="D40" s="17"/>
      <c r="E40" s="17"/>
      <c r="F40" s="17"/>
      <c r="G40" s="17"/>
      <c r="H40" s="17"/>
      <c r="I40" s="18"/>
      <c r="J40" s="31"/>
      <c r="K40"/>
      <c r="L40"/>
      <c r="M40"/>
      <c r="N40"/>
      <c r="O40"/>
      <c r="P40"/>
      <c r="Q40"/>
      <c r="R40"/>
      <c r="S40"/>
      <c r="T40"/>
      <c r="U40"/>
    </row>
    <row r="41" spans="1:21" ht="15" customHeight="1" x14ac:dyDescent="0.25">
      <c r="A41" s="22"/>
      <c r="B41" s="17"/>
      <c r="C41" s="17"/>
      <c r="D41" s="17"/>
      <c r="E41" s="17"/>
      <c r="F41" s="17"/>
      <c r="G41" s="17"/>
      <c r="H41" s="17"/>
      <c r="I41" s="18"/>
      <c r="J41" s="31"/>
      <c r="K41"/>
      <c r="L41"/>
      <c r="M41"/>
      <c r="N41"/>
      <c r="O41"/>
      <c r="P41"/>
      <c r="Q41"/>
      <c r="R41"/>
      <c r="S41"/>
      <c r="T41"/>
      <c r="U41"/>
    </row>
    <row r="42" spans="1:21" ht="15" customHeight="1" x14ac:dyDescent="0.25">
      <c r="A42" s="22"/>
      <c r="B42" s="17"/>
      <c r="C42" s="17"/>
      <c r="D42" s="17"/>
      <c r="E42" s="17"/>
      <c r="F42" s="17"/>
      <c r="G42" s="17"/>
      <c r="H42" s="17"/>
      <c r="I42" s="18"/>
      <c r="J42" s="31"/>
      <c r="K42"/>
      <c r="L42"/>
      <c r="M42"/>
      <c r="N42"/>
      <c r="O42"/>
      <c r="P42"/>
      <c r="Q42"/>
      <c r="R42"/>
      <c r="S42"/>
      <c r="T42"/>
      <c r="U42"/>
    </row>
    <row r="43" spans="1:21" ht="15" customHeight="1" thickBot="1" x14ac:dyDescent="0.3">
      <c r="A43" s="24"/>
      <c r="B43" s="32"/>
      <c r="C43" s="32"/>
      <c r="D43" s="32"/>
      <c r="E43" s="32"/>
      <c r="F43" s="32"/>
      <c r="G43" s="32"/>
      <c r="H43" s="32"/>
      <c r="I43" s="33"/>
      <c r="J43" s="31"/>
      <c r="K43"/>
      <c r="L43"/>
      <c r="M43"/>
      <c r="N43"/>
      <c r="O43"/>
      <c r="P43"/>
      <c r="Q43"/>
      <c r="R43"/>
      <c r="S43"/>
      <c r="T43"/>
      <c r="U43"/>
    </row>
    <row r="44" spans="1:21" ht="15" customHeight="1" x14ac:dyDescent="0.25">
      <c r="J44" s="31"/>
      <c r="K44"/>
      <c r="L44"/>
      <c r="M44"/>
      <c r="N44"/>
      <c r="O44"/>
      <c r="P44"/>
      <c r="Q44"/>
      <c r="R44"/>
      <c r="S44"/>
      <c r="T44"/>
      <c r="U44"/>
    </row>
    <row r="45" spans="1:21" ht="15" customHeight="1" x14ac:dyDescent="0.25">
      <c r="J45" s="31"/>
      <c r="K45"/>
      <c r="L45"/>
      <c r="M45"/>
      <c r="N45"/>
      <c r="O45"/>
      <c r="P45"/>
      <c r="Q45"/>
      <c r="R45"/>
      <c r="S45"/>
      <c r="T45"/>
      <c r="U45"/>
    </row>
    <row r="46" spans="1:21" ht="15" customHeight="1" x14ac:dyDescent="0.25">
      <c r="B46" s="31"/>
      <c r="C46" s="31"/>
      <c r="D46" s="31"/>
      <c r="E46" s="31"/>
      <c r="F46" s="31"/>
      <c r="G46" s="31"/>
      <c r="H46" s="31"/>
      <c r="I46" s="31"/>
      <c r="J46" s="31"/>
      <c r="K46"/>
      <c r="L46"/>
      <c r="M46"/>
      <c r="N46"/>
      <c r="O46"/>
      <c r="P46"/>
      <c r="Q46"/>
      <c r="R46"/>
      <c r="S46"/>
      <c r="T46"/>
      <c r="U46"/>
    </row>
    <row r="47" spans="1:21" ht="15" customHeight="1" x14ac:dyDescent="0.25">
      <c r="B47" s="31"/>
      <c r="C47" s="31"/>
      <c r="D47" s="31"/>
      <c r="E47" s="31"/>
      <c r="F47" s="31"/>
      <c r="G47" s="31"/>
      <c r="H47" s="31"/>
      <c r="I47" s="31"/>
      <c r="J47" s="31"/>
      <c r="K47"/>
      <c r="L47"/>
      <c r="M47"/>
      <c r="N47"/>
      <c r="O47"/>
      <c r="P47"/>
      <c r="Q47"/>
      <c r="R47"/>
      <c r="S47"/>
      <c r="T47"/>
      <c r="U47"/>
    </row>
    <row r="48" spans="1:21" ht="15" customHeight="1" x14ac:dyDescent="0.25">
      <c r="B48" s="31"/>
      <c r="C48" s="31"/>
      <c r="D48" s="31"/>
      <c r="E48" s="31"/>
      <c r="F48" s="31"/>
      <c r="G48" s="31"/>
      <c r="H48" s="31"/>
      <c r="I48" s="31"/>
      <c r="J48" s="31"/>
      <c r="K48"/>
      <c r="L48"/>
      <c r="M48"/>
      <c r="N48"/>
      <c r="O48"/>
      <c r="P48"/>
      <c r="Q48"/>
      <c r="R48"/>
      <c r="S48"/>
      <c r="T48"/>
      <c r="U48"/>
    </row>
    <row r="49" spans="2:21" ht="15" customHeight="1" x14ac:dyDescent="0.25">
      <c r="B49" s="31"/>
      <c r="C49" s="31"/>
      <c r="D49" s="31"/>
      <c r="E49" s="31"/>
      <c r="F49" s="31"/>
      <c r="G49" s="31"/>
      <c r="H49" s="31"/>
      <c r="I49" s="31"/>
      <c r="J49" s="31"/>
      <c r="K49"/>
      <c r="L49"/>
      <c r="M49"/>
      <c r="N49"/>
      <c r="O49"/>
      <c r="P49"/>
      <c r="Q49"/>
      <c r="R49"/>
      <c r="S49"/>
      <c r="T49"/>
      <c r="U49"/>
    </row>
    <row r="50" spans="2:21" ht="15" customHeight="1" x14ac:dyDescent="0.25">
      <c r="B50" s="31"/>
      <c r="C50" s="31"/>
      <c r="D50" s="31"/>
      <c r="E50" s="31"/>
      <c r="F50" s="31"/>
      <c r="G50" s="31"/>
      <c r="H50" s="31"/>
      <c r="I50" s="31"/>
      <c r="J50" s="31"/>
      <c r="K50"/>
      <c r="L50"/>
      <c r="M50"/>
      <c r="N50"/>
      <c r="O50"/>
      <c r="P50"/>
      <c r="Q50"/>
      <c r="R50"/>
      <c r="S50"/>
      <c r="T50"/>
      <c r="U50"/>
    </row>
    <row r="51" spans="2:21" ht="15" customHeight="1" x14ac:dyDescent="0.25">
      <c r="B51" s="31"/>
      <c r="C51" s="31"/>
      <c r="D51" s="31"/>
      <c r="E51" s="31"/>
      <c r="F51" s="31"/>
      <c r="G51" s="31"/>
      <c r="H51" s="31"/>
      <c r="I51" s="31"/>
      <c r="J51" s="31"/>
      <c r="K51"/>
      <c r="L51"/>
      <c r="M51"/>
      <c r="N51"/>
      <c r="O51"/>
      <c r="P51"/>
      <c r="Q51"/>
      <c r="R51"/>
      <c r="S51"/>
      <c r="T51"/>
      <c r="U51"/>
    </row>
    <row r="52" spans="2:21" ht="15" customHeight="1" x14ac:dyDescent="0.25">
      <c r="B52" s="31"/>
      <c r="C52" s="31"/>
      <c r="D52" s="31"/>
      <c r="E52" s="31"/>
      <c r="F52" s="31"/>
      <c r="G52" s="31"/>
      <c r="H52" s="31"/>
      <c r="I52" s="31"/>
      <c r="J52" s="31"/>
      <c r="K52"/>
      <c r="L52"/>
      <c r="M52"/>
      <c r="N52"/>
      <c r="O52"/>
      <c r="P52"/>
      <c r="Q52"/>
      <c r="R52"/>
      <c r="S52"/>
      <c r="T52"/>
      <c r="U52"/>
    </row>
    <row r="53" spans="2:21" ht="15" customHeight="1" x14ac:dyDescent="0.25">
      <c r="B53" s="31"/>
      <c r="C53" s="31"/>
      <c r="D53" s="31"/>
      <c r="E53" s="31"/>
      <c r="F53" s="31"/>
      <c r="G53" s="31"/>
      <c r="H53" s="31"/>
      <c r="I53" s="31"/>
      <c r="J53" s="31"/>
      <c r="K53"/>
      <c r="L53"/>
      <c r="M53"/>
      <c r="N53"/>
      <c r="O53"/>
      <c r="P53"/>
      <c r="Q53"/>
      <c r="R53"/>
      <c r="S53"/>
      <c r="T53"/>
      <c r="U53"/>
    </row>
    <row r="54" spans="2:21" ht="15" customHeight="1" x14ac:dyDescent="0.25">
      <c r="B54" s="31"/>
      <c r="C54" s="31"/>
      <c r="D54" s="31"/>
      <c r="E54" s="31"/>
      <c r="F54" s="31"/>
      <c r="G54" s="31"/>
      <c r="H54" s="31"/>
      <c r="I54" s="31"/>
      <c r="J54" s="31"/>
      <c r="K54"/>
      <c r="L54"/>
      <c r="M54"/>
      <c r="N54"/>
      <c r="O54"/>
      <c r="P54"/>
      <c r="Q54"/>
      <c r="R54"/>
      <c r="S54"/>
      <c r="T54"/>
      <c r="U54"/>
    </row>
    <row r="55" spans="2:21" ht="15" customHeight="1" x14ac:dyDescent="0.25">
      <c r="B55" s="31"/>
      <c r="C55" s="31"/>
      <c r="D55" s="31"/>
      <c r="E55" s="31"/>
      <c r="F55" s="31"/>
      <c r="G55" s="31"/>
      <c r="H55" s="31"/>
      <c r="I55" s="31"/>
      <c r="J55" s="31"/>
      <c r="K55"/>
      <c r="L55"/>
      <c r="M55"/>
      <c r="N55"/>
      <c r="O55"/>
      <c r="P55"/>
      <c r="Q55"/>
      <c r="R55"/>
      <c r="S55"/>
      <c r="T55"/>
      <c r="U55"/>
    </row>
    <row r="56" spans="2:21" ht="15" customHeight="1" x14ac:dyDescent="0.25">
      <c r="B56" s="31"/>
      <c r="C56" s="31"/>
      <c r="D56" s="31"/>
      <c r="E56" s="31"/>
      <c r="F56" s="31"/>
      <c r="G56" s="31"/>
      <c r="H56" s="31"/>
      <c r="I56" s="31"/>
      <c r="J56" s="31"/>
      <c r="K56"/>
      <c r="L56"/>
      <c r="M56"/>
      <c r="N56"/>
      <c r="O56"/>
      <c r="P56"/>
      <c r="Q56"/>
      <c r="R56"/>
      <c r="S56"/>
      <c r="T56"/>
      <c r="U56"/>
    </row>
    <row r="57" spans="2:21" ht="15" customHeight="1" x14ac:dyDescent="0.25">
      <c r="B57" s="31"/>
      <c r="C57" s="31"/>
      <c r="D57" s="31"/>
      <c r="E57" s="31"/>
      <c r="F57" s="31"/>
      <c r="G57" s="31"/>
      <c r="H57" s="31"/>
      <c r="I57" s="31"/>
      <c r="J57" s="31"/>
      <c r="K57"/>
      <c r="L57"/>
      <c r="M57"/>
      <c r="N57"/>
      <c r="O57"/>
      <c r="P57"/>
      <c r="Q57"/>
      <c r="R57"/>
      <c r="S57"/>
      <c r="T57"/>
      <c r="U57"/>
    </row>
    <row r="58" spans="2:21" ht="15" customHeight="1" x14ac:dyDescent="0.25">
      <c r="B58" s="31"/>
      <c r="C58" s="31"/>
      <c r="D58" s="31"/>
      <c r="E58" s="31"/>
      <c r="F58" s="31"/>
      <c r="G58" s="31"/>
      <c r="H58" s="31"/>
      <c r="I58" s="31"/>
      <c r="J58" s="31"/>
      <c r="K58"/>
      <c r="L58"/>
      <c r="M58"/>
      <c r="N58"/>
      <c r="O58"/>
      <c r="P58"/>
      <c r="Q58"/>
      <c r="R58"/>
      <c r="S58"/>
      <c r="T58"/>
      <c r="U58"/>
    </row>
    <row r="59" spans="2:21" ht="15" customHeight="1" x14ac:dyDescent="0.25">
      <c r="B59" s="31"/>
      <c r="C59" s="31"/>
      <c r="D59" s="31"/>
      <c r="E59" s="31"/>
      <c r="F59" s="31"/>
      <c r="G59" s="31"/>
      <c r="H59" s="31"/>
      <c r="I59" s="31"/>
      <c r="J59" s="31"/>
      <c r="K59"/>
      <c r="L59"/>
      <c r="M59"/>
      <c r="N59"/>
      <c r="O59"/>
      <c r="P59"/>
      <c r="Q59"/>
      <c r="R59"/>
      <c r="S59"/>
      <c r="T59"/>
      <c r="U59"/>
    </row>
    <row r="60" spans="2:21" ht="15" customHeight="1" x14ac:dyDescent="0.25">
      <c r="B60" s="31"/>
      <c r="C60" s="31"/>
      <c r="D60" s="31"/>
      <c r="E60" s="31"/>
      <c r="F60" s="31"/>
      <c r="G60" s="31"/>
      <c r="H60" s="31"/>
      <c r="I60" s="31"/>
      <c r="J60" s="31"/>
      <c r="K60"/>
      <c r="L60"/>
      <c r="M60"/>
      <c r="N60"/>
      <c r="O60"/>
      <c r="P60"/>
      <c r="Q60"/>
      <c r="R60"/>
      <c r="S60"/>
      <c r="T60"/>
      <c r="U60"/>
    </row>
    <row r="61" spans="2:21" ht="15" customHeight="1" x14ac:dyDescent="0.25">
      <c r="B61" s="31"/>
      <c r="C61" s="31"/>
      <c r="D61" s="31"/>
      <c r="E61" s="31"/>
      <c r="F61" s="31"/>
      <c r="G61" s="31"/>
      <c r="H61" s="31"/>
      <c r="I61" s="31"/>
      <c r="J61" s="31"/>
      <c r="K61"/>
      <c r="L61"/>
      <c r="M61"/>
      <c r="N61"/>
      <c r="O61"/>
      <c r="P61"/>
      <c r="Q61"/>
      <c r="R61"/>
      <c r="S61"/>
      <c r="T61"/>
      <c r="U61"/>
    </row>
    <row r="62" spans="2:21" ht="15" customHeight="1" x14ac:dyDescent="0.25">
      <c r="B62" s="31"/>
      <c r="C62" s="31"/>
      <c r="D62" s="31"/>
      <c r="E62" s="31"/>
      <c r="F62" s="31"/>
      <c r="G62" s="31"/>
      <c r="H62" s="31"/>
      <c r="I62" s="31"/>
      <c r="J62" s="31"/>
      <c r="K62"/>
      <c r="L62"/>
      <c r="M62"/>
      <c r="N62"/>
      <c r="O62"/>
      <c r="P62"/>
      <c r="Q62"/>
      <c r="R62"/>
      <c r="S62"/>
      <c r="T62"/>
      <c r="U62"/>
    </row>
    <row r="63" spans="2:21" ht="15" customHeight="1" x14ac:dyDescent="0.25">
      <c r="B63" s="31"/>
      <c r="C63" s="31"/>
      <c r="D63" s="31"/>
      <c r="E63" s="31"/>
      <c r="F63" s="31"/>
      <c r="G63" s="31"/>
      <c r="H63" s="31"/>
      <c r="I63" s="31"/>
      <c r="J63" s="31"/>
      <c r="K63"/>
      <c r="L63"/>
      <c r="M63"/>
      <c r="N63"/>
      <c r="O63"/>
      <c r="P63"/>
      <c r="Q63"/>
      <c r="R63"/>
      <c r="S63"/>
      <c r="T63"/>
      <c r="U63"/>
    </row>
    <row r="64" spans="2:21" ht="15" customHeight="1" x14ac:dyDescent="0.25">
      <c r="B64" s="31"/>
      <c r="C64" s="31"/>
      <c r="D64" s="31"/>
      <c r="E64" s="31"/>
      <c r="F64" s="31"/>
      <c r="G64" s="31"/>
      <c r="H64" s="31"/>
      <c r="I64" s="31"/>
      <c r="J64" s="31"/>
      <c r="K64"/>
      <c r="L64"/>
      <c r="M64"/>
      <c r="N64"/>
      <c r="O64"/>
      <c r="P64"/>
      <c r="Q64"/>
      <c r="R64"/>
      <c r="S64"/>
      <c r="T64"/>
      <c r="U64"/>
    </row>
    <row r="65" spans="2:21" ht="15" customHeight="1" x14ac:dyDescent="0.25">
      <c r="B65" s="31"/>
      <c r="C65" s="31"/>
      <c r="D65" s="31"/>
      <c r="E65" s="31"/>
      <c r="F65" s="31"/>
      <c r="G65" s="31"/>
      <c r="H65" s="31"/>
      <c r="I65" s="31"/>
      <c r="J65" s="31"/>
      <c r="K65"/>
      <c r="L65"/>
      <c r="M65"/>
      <c r="N65"/>
      <c r="O65"/>
      <c r="P65"/>
      <c r="Q65"/>
      <c r="R65"/>
      <c r="S65"/>
      <c r="T65"/>
      <c r="U65"/>
    </row>
    <row r="66" spans="2:21" ht="15" customHeight="1" x14ac:dyDescent="0.25">
      <c r="B66" s="31"/>
      <c r="C66" s="31"/>
      <c r="D66" s="31"/>
      <c r="E66" s="31"/>
      <c r="F66" s="31"/>
      <c r="G66" s="31"/>
      <c r="H66" s="31"/>
      <c r="I66" s="31"/>
      <c r="J66" s="31"/>
      <c r="K66"/>
      <c r="L66"/>
      <c r="M66"/>
      <c r="N66"/>
      <c r="O66"/>
      <c r="P66"/>
      <c r="Q66"/>
      <c r="R66"/>
      <c r="S66"/>
      <c r="T66"/>
      <c r="U66"/>
    </row>
    <row r="67" spans="2:21" ht="15" customHeight="1" x14ac:dyDescent="0.25">
      <c r="B67" s="31"/>
      <c r="C67" s="31"/>
      <c r="D67" s="31"/>
      <c r="E67" s="31"/>
      <c r="F67" s="31"/>
      <c r="G67" s="31"/>
      <c r="H67" s="31"/>
      <c r="I67" s="31"/>
      <c r="J67" s="31"/>
      <c r="K67"/>
      <c r="L67"/>
      <c r="M67"/>
      <c r="N67"/>
      <c r="O67"/>
      <c r="P67"/>
      <c r="Q67"/>
      <c r="R67"/>
      <c r="S67"/>
      <c r="T67"/>
      <c r="U67"/>
    </row>
    <row r="68" spans="2:21" ht="15" customHeight="1" x14ac:dyDescent="0.25">
      <c r="B68" s="31"/>
      <c r="C68" s="31"/>
      <c r="D68" s="31"/>
      <c r="E68" s="31"/>
      <c r="F68" s="31"/>
      <c r="G68" s="31"/>
      <c r="H68" s="31"/>
      <c r="I68" s="31"/>
      <c r="J68" s="31"/>
      <c r="K68"/>
      <c r="L68"/>
      <c r="M68"/>
      <c r="N68"/>
      <c r="O68"/>
      <c r="P68"/>
      <c r="Q68"/>
      <c r="R68"/>
      <c r="S68"/>
      <c r="T68"/>
      <c r="U68"/>
    </row>
    <row r="69" spans="2:21" ht="15" customHeight="1" x14ac:dyDescent="0.25">
      <c r="B69" s="31"/>
      <c r="C69" s="31"/>
      <c r="D69" s="31"/>
      <c r="E69" s="31"/>
      <c r="F69" s="31"/>
      <c r="G69" s="31"/>
      <c r="H69" s="31"/>
      <c r="I69" s="31"/>
      <c r="J69" s="31"/>
      <c r="K69"/>
      <c r="L69"/>
      <c r="M69"/>
      <c r="N69"/>
      <c r="O69"/>
      <c r="P69"/>
      <c r="Q69"/>
      <c r="R69"/>
      <c r="S69"/>
      <c r="T69"/>
      <c r="U69"/>
    </row>
    <row r="70" spans="2:21" ht="15" customHeight="1" x14ac:dyDescent="0.25">
      <c r="B70" s="31"/>
      <c r="C70" s="31"/>
      <c r="D70" s="31"/>
      <c r="E70" s="31"/>
      <c r="F70" s="31"/>
      <c r="G70" s="31"/>
      <c r="H70" s="31"/>
      <c r="I70" s="31"/>
      <c r="J70" s="31"/>
      <c r="K70"/>
      <c r="L70"/>
      <c r="M70"/>
      <c r="N70"/>
      <c r="O70"/>
      <c r="P70"/>
      <c r="Q70"/>
      <c r="R70"/>
      <c r="S70"/>
      <c r="T70"/>
      <c r="U70"/>
    </row>
    <row r="71" spans="2:21" ht="15" customHeight="1" x14ac:dyDescent="0.25">
      <c r="B71" s="31"/>
      <c r="C71" s="31"/>
      <c r="D71" s="31"/>
      <c r="E71" s="31"/>
      <c r="F71" s="31"/>
      <c r="G71" s="31"/>
      <c r="H71" s="31"/>
      <c r="I71" s="31"/>
      <c r="J71" s="31"/>
      <c r="K71"/>
      <c r="L71"/>
      <c r="M71"/>
      <c r="N71"/>
      <c r="O71"/>
      <c r="P71"/>
      <c r="Q71"/>
      <c r="R71"/>
      <c r="S71"/>
      <c r="T71"/>
      <c r="U71"/>
    </row>
    <row r="72" spans="2:21" ht="15" customHeight="1" x14ac:dyDescent="0.25">
      <c r="B72" s="31"/>
      <c r="C72" s="31"/>
      <c r="D72" s="31"/>
      <c r="E72" s="31"/>
      <c r="F72" s="31"/>
      <c r="G72" s="31"/>
      <c r="H72" s="31"/>
      <c r="I72" s="31"/>
      <c r="J72" s="31"/>
      <c r="K72"/>
      <c r="L72"/>
      <c r="M72"/>
      <c r="N72"/>
      <c r="O72"/>
      <c r="P72"/>
      <c r="Q72"/>
      <c r="R72"/>
      <c r="S72"/>
      <c r="T72"/>
      <c r="U72"/>
    </row>
    <row r="73" spans="2:21" ht="15" customHeight="1" x14ac:dyDescent="0.25">
      <c r="B73" s="31"/>
      <c r="C73" s="31"/>
      <c r="D73" s="31"/>
      <c r="E73" s="31"/>
      <c r="F73" s="31"/>
      <c r="G73" s="31"/>
      <c r="H73" s="31"/>
      <c r="I73" s="31"/>
      <c r="J73" s="31"/>
      <c r="K73"/>
      <c r="L73"/>
      <c r="M73"/>
      <c r="N73"/>
      <c r="O73"/>
      <c r="P73"/>
      <c r="Q73"/>
      <c r="R73"/>
      <c r="S73"/>
      <c r="T73"/>
      <c r="U73"/>
    </row>
    <row r="74" spans="2:21" ht="15" customHeight="1" x14ac:dyDescent="0.25">
      <c r="B74" s="31"/>
      <c r="C74" s="31"/>
      <c r="D74" s="31"/>
      <c r="E74" s="31"/>
      <c r="F74" s="31"/>
      <c r="G74" s="31"/>
      <c r="H74" s="31"/>
      <c r="I74" s="31"/>
      <c r="J74" s="31"/>
      <c r="K74"/>
      <c r="L74"/>
      <c r="M74"/>
      <c r="N74"/>
      <c r="O74"/>
      <c r="P74"/>
      <c r="Q74"/>
      <c r="R74"/>
      <c r="S74"/>
      <c r="T74"/>
      <c r="U74"/>
    </row>
    <row r="75" spans="2:21" ht="15" customHeight="1" x14ac:dyDescent="0.25">
      <c r="B75" s="31"/>
      <c r="C75" s="31"/>
      <c r="D75" s="31"/>
      <c r="E75" s="31"/>
      <c r="F75" s="31"/>
      <c r="G75" s="31"/>
      <c r="H75" s="31"/>
      <c r="I75" s="31"/>
      <c r="J75" s="31"/>
      <c r="K75"/>
      <c r="L75"/>
      <c r="M75"/>
      <c r="N75"/>
      <c r="O75"/>
      <c r="P75"/>
      <c r="Q75"/>
      <c r="R75"/>
      <c r="S75"/>
      <c r="T75"/>
      <c r="U75"/>
    </row>
    <row r="76" spans="2:21" ht="15" customHeight="1" x14ac:dyDescent="0.25">
      <c r="B76" s="31"/>
      <c r="C76" s="31"/>
      <c r="D76" s="31"/>
      <c r="E76" s="31"/>
      <c r="F76" s="31"/>
      <c r="G76" s="31"/>
      <c r="H76" s="31"/>
      <c r="I76" s="31"/>
      <c r="J76" s="31"/>
      <c r="K76"/>
      <c r="L76"/>
      <c r="M76"/>
      <c r="N76"/>
      <c r="O76"/>
      <c r="P76"/>
      <c r="Q76"/>
      <c r="R76"/>
      <c r="S76"/>
      <c r="T76"/>
      <c r="U76"/>
    </row>
    <row r="77" spans="2:21" ht="15" customHeight="1" x14ac:dyDescent="0.25">
      <c r="B77" s="31"/>
      <c r="C77" s="31"/>
      <c r="D77" s="31"/>
      <c r="E77" s="31"/>
      <c r="F77" s="31"/>
      <c r="G77" s="31"/>
      <c r="H77" s="31"/>
      <c r="I77" s="31"/>
      <c r="J77" s="31"/>
      <c r="K77"/>
      <c r="L77"/>
      <c r="M77"/>
      <c r="N77"/>
      <c r="O77"/>
      <c r="P77"/>
      <c r="Q77"/>
      <c r="R77"/>
      <c r="S77"/>
      <c r="T77"/>
      <c r="U77"/>
    </row>
    <row r="78" spans="2:21" ht="15" customHeight="1" x14ac:dyDescent="0.25">
      <c r="B78" s="31"/>
      <c r="C78" s="31"/>
      <c r="D78" s="31"/>
      <c r="E78" s="31"/>
      <c r="F78" s="31"/>
      <c r="G78" s="31"/>
      <c r="H78" s="31"/>
      <c r="I78" s="31"/>
      <c r="J78" s="31"/>
      <c r="K78"/>
      <c r="L78"/>
      <c r="M78"/>
      <c r="N78"/>
      <c r="O78"/>
      <c r="P78"/>
      <c r="Q78"/>
      <c r="R78"/>
      <c r="S78"/>
      <c r="T78"/>
      <c r="U78"/>
    </row>
    <row r="79" spans="2:21" ht="15" customHeight="1" x14ac:dyDescent="0.25">
      <c r="B79" s="31"/>
      <c r="C79" s="31"/>
      <c r="D79" s="31"/>
      <c r="E79" s="31"/>
      <c r="F79" s="31"/>
      <c r="G79" s="31"/>
      <c r="H79" s="31"/>
      <c r="I79" s="31"/>
      <c r="J79" s="31"/>
      <c r="K79"/>
      <c r="L79"/>
      <c r="M79"/>
      <c r="N79"/>
      <c r="O79"/>
      <c r="P79"/>
      <c r="Q79"/>
      <c r="R79"/>
      <c r="S79"/>
      <c r="T79"/>
      <c r="U79"/>
    </row>
    <row r="80" spans="2:21" ht="15" customHeight="1" x14ac:dyDescent="0.25">
      <c r="B80" s="31"/>
      <c r="C80" s="31"/>
      <c r="D80" s="31"/>
      <c r="E80" s="31"/>
      <c r="F80" s="31"/>
      <c r="G80" s="31"/>
      <c r="H80" s="31"/>
      <c r="I80" s="31"/>
      <c r="J80" s="31"/>
      <c r="K80"/>
      <c r="L80"/>
      <c r="M80"/>
      <c r="N80"/>
      <c r="O80"/>
      <c r="P80"/>
      <c r="Q80"/>
      <c r="R80"/>
      <c r="S80"/>
      <c r="T80"/>
      <c r="U80"/>
    </row>
    <row r="81" spans="2:21" ht="15" customHeight="1" x14ac:dyDescent="0.25">
      <c r="B81" s="31"/>
      <c r="C81" s="31"/>
      <c r="D81" s="31"/>
      <c r="E81" s="31"/>
      <c r="F81" s="31"/>
      <c r="G81" s="31"/>
      <c r="H81" s="31"/>
      <c r="I81" s="31"/>
      <c r="J81" s="31"/>
      <c r="K81"/>
      <c r="L81"/>
      <c r="M81"/>
      <c r="N81"/>
      <c r="O81"/>
      <c r="P81"/>
      <c r="Q81"/>
      <c r="R81"/>
      <c r="S81"/>
      <c r="T81"/>
      <c r="U81"/>
    </row>
    <row r="82" spans="2:21" ht="15" customHeight="1" x14ac:dyDescent="0.25">
      <c r="B82" s="31"/>
      <c r="C82" s="31"/>
      <c r="D82" s="31"/>
      <c r="E82" s="31"/>
      <c r="F82" s="31"/>
      <c r="G82" s="31"/>
      <c r="H82" s="31"/>
      <c r="I82" s="31"/>
      <c r="J82" s="31"/>
      <c r="K82"/>
      <c r="L82"/>
      <c r="M82"/>
      <c r="N82"/>
      <c r="O82"/>
      <c r="P82"/>
      <c r="Q82"/>
      <c r="R82"/>
      <c r="S82"/>
      <c r="T82"/>
      <c r="U82"/>
    </row>
    <row r="83" spans="2:21" ht="15" customHeight="1" x14ac:dyDescent="0.25">
      <c r="B83" s="31"/>
      <c r="C83" s="31"/>
      <c r="D83" s="31"/>
      <c r="E83" s="31"/>
      <c r="F83" s="31"/>
      <c r="G83" s="31"/>
      <c r="H83" s="31"/>
      <c r="I83" s="31"/>
      <c r="J83" s="31"/>
      <c r="K83"/>
      <c r="L83"/>
      <c r="M83"/>
      <c r="N83"/>
      <c r="O83"/>
      <c r="P83"/>
      <c r="Q83"/>
      <c r="R83"/>
      <c r="S83"/>
      <c r="T83"/>
      <c r="U83"/>
    </row>
    <row r="84" spans="2:21" ht="15" customHeight="1" x14ac:dyDescent="0.25">
      <c r="B84" s="31"/>
      <c r="C84" s="31"/>
      <c r="D84" s="31"/>
      <c r="E84" s="31"/>
      <c r="F84" s="31"/>
      <c r="G84" s="31"/>
      <c r="H84" s="31"/>
      <c r="I84" s="31"/>
      <c r="J84" s="31"/>
      <c r="K84"/>
      <c r="L84"/>
      <c r="M84"/>
      <c r="N84"/>
      <c r="O84"/>
      <c r="P84"/>
      <c r="Q84"/>
      <c r="R84"/>
      <c r="S84"/>
      <c r="T84"/>
      <c r="U84"/>
    </row>
    <row r="85" spans="2:21" ht="15" customHeight="1" x14ac:dyDescent="0.25">
      <c r="B85" s="31"/>
      <c r="C85" s="31"/>
      <c r="D85" s="31"/>
      <c r="E85" s="31"/>
      <c r="F85" s="31"/>
      <c r="G85" s="31"/>
      <c r="H85" s="31"/>
      <c r="I85" s="31"/>
      <c r="J85" s="31"/>
      <c r="K85"/>
      <c r="L85"/>
      <c r="M85"/>
      <c r="N85"/>
      <c r="O85"/>
      <c r="P85"/>
      <c r="Q85"/>
      <c r="R85"/>
      <c r="S85"/>
      <c r="T85"/>
      <c r="U85"/>
    </row>
    <row r="86" spans="2:21" ht="15" customHeight="1" x14ac:dyDescent="0.25">
      <c r="B86" s="31"/>
      <c r="C86" s="31"/>
      <c r="D86" s="31"/>
      <c r="E86" s="31"/>
      <c r="F86" s="31"/>
      <c r="G86" s="31"/>
      <c r="H86" s="31"/>
      <c r="I86" s="31"/>
      <c r="J86" s="31"/>
      <c r="K86"/>
      <c r="L86"/>
      <c r="M86"/>
      <c r="N86"/>
      <c r="O86"/>
      <c r="P86"/>
      <c r="Q86"/>
      <c r="R86"/>
      <c r="S86"/>
      <c r="T86"/>
      <c r="U86"/>
    </row>
    <row r="87" spans="2:21" ht="15" customHeight="1" x14ac:dyDescent="0.25">
      <c r="B87" s="31"/>
      <c r="C87" s="31"/>
      <c r="D87" s="31"/>
      <c r="E87" s="31"/>
      <c r="F87" s="31"/>
      <c r="G87" s="31"/>
      <c r="H87" s="31"/>
      <c r="I87" s="31"/>
      <c r="J87" s="31"/>
      <c r="K87"/>
      <c r="L87"/>
      <c r="M87"/>
      <c r="N87"/>
      <c r="O87"/>
      <c r="P87"/>
      <c r="Q87"/>
      <c r="R87"/>
      <c r="S87"/>
      <c r="T87"/>
      <c r="U87"/>
    </row>
    <row r="88" spans="2:21" ht="15" customHeight="1" x14ac:dyDescent="0.25">
      <c r="B88" s="31"/>
      <c r="C88" s="31"/>
      <c r="D88" s="31"/>
      <c r="E88" s="31"/>
      <c r="F88" s="31"/>
      <c r="G88" s="31"/>
      <c r="H88" s="31"/>
      <c r="I88" s="31"/>
      <c r="J88" s="31"/>
      <c r="K88"/>
      <c r="L88"/>
      <c r="M88"/>
      <c r="N88"/>
      <c r="O88"/>
      <c r="P88"/>
      <c r="Q88"/>
      <c r="R88"/>
      <c r="S88"/>
      <c r="T88"/>
      <c r="U88"/>
    </row>
    <row r="89" spans="2:21" ht="15" customHeight="1" x14ac:dyDescent="0.25">
      <c r="B89" s="31"/>
      <c r="C89" s="31"/>
      <c r="D89" s="31"/>
      <c r="E89" s="31"/>
      <c r="F89" s="31"/>
      <c r="G89" s="31"/>
      <c r="H89" s="31"/>
      <c r="I89" s="31"/>
      <c r="J89" s="31"/>
      <c r="K89"/>
      <c r="L89"/>
      <c r="M89"/>
      <c r="N89"/>
      <c r="O89"/>
      <c r="P89"/>
      <c r="Q89"/>
      <c r="R89"/>
      <c r="S89"/>
      <c r="T89"/>
      <c r="U89"/>
    </row>
    <row r="90" spans="2:21" ht="15" customHeight="1" x14ac:dyDescent="0.25">
      <c r="B90" s="31"/>
      <c r="C90" s="31"/>
      <c r="D90" s="31"/>
      <c r="E90" s="31"/>
      <c r="F90" s="31"/>
      <c r="G90" s="31"/>
      <c r="H90" s="31"/>
      <c r="I90" s="31"/>
      <c r="J90" s="31"/>
      <c r="K90"/>
      <c r="L90"/>
      <c r="M90"/>
      <c r="N90"/>
      <c r="O90"/>
      <c r="P90"/>
      <c r="Q90"/>
      <c r="R90"/>
      <c r="S90"/>
      <c r="T90"/>
      <c r="U90"/>
    </row>
    <row r="91" spans="2:21" ht="15" customHeight="1" x14ac:dyDescent="0.25">
      <c r="B91" s="31"/>
      <c r="C91" s="31"/>
      <c r="D91" s="31"/>
      <c r="E91" s="31"/>
      <c r="F91" s="31"/>
      <c r="G91" s="31"/>
      <c r="H91" s="31"/>
      <c r="I91" s="31"/>
      <c r="J91" s="31"/>
      <c r="K91"/>
      <c r="L91"/>
      <c r="M91"/>
      <c r="N91"/>
      <c r="O91"/>
      <c r="P91"/>
      <c r="Q91"/>
      <c r="R91"/>
      <c r="S91"/>
      <c r="T91"/>
      <c r="U91"/>
    </row>
    <row r="92" spans="2:21" ht="15" customHeight="1" x14ac:dyDescent="0.25">
      <c r="B92" s="31"/>
      <c r="C92" s="31"/>
      <c r="D92" s="31"/>
      <c r="E92" s="31"/>
      <c r="F92" s="31"/>
      <c r="G92" s="31"/>
      <c r="H92" s="31"/>
      <c r="I92" s="31"/>
      <c r="J92" s="31"/>
      <c r="K92"/>
      <c r="L92"/>
      <c r="M92"/>
      <c r="N92"/>
      <c r="O92"/>
      <c r="P92"/>
      <c r="Q92"/>
      <c r="R92"/>
      <c r="S92"/>
      <c r="T92"/>
      <c r="U92"/>
    </row>
    <row r="93" spans="2:21" ht="15" customHeight="1" x14ac:dyDescent="0.25">
      <c r="B93" s="31"/>
      <c r="C93" s="31"/>
      <c r="D93" s="31"/>
      <c r="E93" s="31"/>
      <c r="F93" s="31"/>
      <c r="G93" s="31"/>
      <c r="H93" s="31"/>
      <c r="I93" s="31"/>
      <c r="J93" s="31"/>
      <c r="K93"/>
      <c r="L93"/>
      <c r="M93"/>
      <c r="N93"/>
      <c r="O93"/>
      <c r="P93"/>
      <c r="Q93"/>
      <c r="R93"/>
      <c r="S93"/>
      <c r="T93"/>
      <c r="U93"/>
    </row>
    <row r="94" spans="2:21" ht="15" customHeight="1" x14ac:dyDescent="0.25">
      <c r="B94" s="31"/>
      <c r="C94" s="31"/>
      <c r="D94" s="31"/>
      <c r="E94" s="31"/>
      <c r="F94" s="31"/>
      <c r="G94" s="31"/>
      <c r="H94" s="31"/>
      <c r="I94" s="31"/>
      <c r="J94" s="31"/>
      <c r="K94"/>
      <c r="L94"/>
      <c r="M94"/>
      <c r="N94"/>
      <c r="O94"/>
      <c r="P94"/>
      <c r="Q94"/>
      <c r="R94"/>
      <c r="S94"/>
      <c r="T94"/>
      <c r="U94"/>
    </row>
    <row r="95" spans="2:21" ht="15" customHeight="1" x14ac:dyDescent="0.25">
      <c r="B95" s="31"/>
      <c r="C95" s="31"/>
      <c r="D95" s="31"/>
      <c r="E95" s="31"/>
      <c r="F95" s="31"/>
      <c r="G95" s="31"/>
      <c r="H95" s="31"/>
      <c r="I95" s="31"/>
      <c r="J95" s="31"/>
      <c r="K95"/>
      <c r="L95"/>
      <c r="M95"/>
      <c r="N95"/>
      <c r="O95"/>
      <c r="P95"/>
      <c r="Q95"/>
      <c r="R95"/>
      <c r="S95"/>
      <c r="T95"/>
      <c r="U95"/>
    </row>
    <row r="96" spans="2:21" ht="15" customHeight="1" x14ac:dyDescent="0.25">
      <c r="B96" s="31"/>
      <c r="C96" s="31"/>
      <c r="D96" s="31"/>
      <c r="E96" s="31"/>
      <c r="F96" s="31"/>
      <c r="G96" s="31"/>
      <c r="H96" s="31"/>
      <c r="I96" s="31"/>
      <c r="J96" s="31"/>
      <c r="K96"/>
      <c r="L96"/>
      <c r="M96"/>
      <c r="N96"/>
      <c r="O96"/>
      <c r="P96"/>
      <c r="Q96"/>
      <c r="R96"/>
      <c r="S96"/>
      <c r="T96"/>
      <c r="U96"/>
    </row>
    <row r="97" spans="2:21" ht="15" customHeight="1" x14ac:dyDescent="0.25">
      <c r="B97" s="31"/>
      <c r="C97" s="31"/>
      <c r="D97" s="31"/>
      <c r="E97" s="31"/>
      <c r="F97" s="31"/>
      <c r="G97" s="31"/>
      <c r="H97" s="31"/>
      <c r="I97" s="31"/>
      <c r="J97" s="31"/>
      <c r="K97"/>
      <c r="L97"/>
      <c r="M97"/>
      <c r="N97"/>
      <c r="O97"/>
      <c r="P97"/>
      <c r="Q97"/>
      <c r="R97"/>
      <c r="S97"/>
      <c r="T97"/>
      <c r="U97"/>
    </row>
    <row r="98" spans="2:21" ht="15" customHeight="1" x14ac:dyDescent="0.25">
      <c r="B98" s="31"/>
      <c r="C98" s="31"/>
      <c r="D98" s="31"/>
      <c r="E98" s="31"/>
      <c r="F98" s="31"/>
      <c r="G98" s="31"/>
      <c r="H98" s="31"/>
      <c r="I98" s="31"/>
      <c r="J98" s="31"/>
      <c r="K98"/>
      <c r="L98"/>
      <c r="M98"/>
      <c r="N98"/>
      <c r="O98"/>
      <c r="P98"/>
      <c r="Q98"/>
      <c r="R98"/>
      <c r="S98"/>
      <c r="T98"/>
      <c r="U98"/>
    </row>
    <row r="99" spans="2:21" ht="15" customHeight="1" x14ac:dyDescent="0.25">
      <c r="B99" s="31"/>
      <c r="C99" s="31"/>
      <c r="D99" s="31"/>
      <c r="E99" s="31"/>
      <c r="F99" s="31"/>
      <c r="G99" s="31"/>
      <c r="H99" s="31"/>
      <c r="I99" s="31"/>
      <c r="J99" s="31"/>
      <c r="K99"/>
      <c r="L99"/>
      <c r="M99"/>
      <c r="N99"/>
      <c r="O99"/>
      <c r="P99"/>
      <c r="Q99"/>
      <c r="R99"/>
      <c r="S99"/>
      <c r="T99"/>
      <c r="U99"/>
    </row>
    <row r="100" spans="2:21" ht="15" customHeight="1" x14ac:dyDescent="0.25">
      <c r="B100" s="31"/>
      <c r="C100" s="31"/>
      <c r="D100" s="31"/>
      <c r="E100" s="31"/>
      <c r="F100" s="31"/>
      <c r="G100" s="31"/>
      <c r="H100" s="31"/>
      <c r="I100" s="31"/>
      <c r="J100" s="31"/>
      <c r="K100"/>
      <c r="L100"/>
      <c r="M100"/>
      <c r="N100"/>
      <c r="O100"/>
      <c r="P100"/>
      <c r="Q100"/>
      <c r="R100"/>
      <c r="S100"/>
      <c r="T100"/>
      <c r="U100"/>
    </row>
    <row r="101" spans="2:21" ht="15" customHeight="1" x14ac:dyDescent="0.25">
      <c r="B101" s="31"/>
      <c r="C101" s="31"/>
      <c r="D101" s="31"/>
      <c r="E101" s="31"/>
      <c r="F101" s="31"/>
      <c r="G101" s="31"/>
      <c r="H101" s="31"/>
      <c r="I101" s="31"/>
      <c r="J101" s="31"/>
      <c r="K101"/>
      <c r="L101"/>
      <c r="M101"/>
      <c r="N101"/>
      <c r="O101"/>
      <c r="P101"/>
      <c r="Q101"/>
      <c r="R101"/>
      <c r="S101"/>
      <c r="T101"/>
      <c r="U101"/>
    </row>
  </sheetData>
  <mergeCells count="1">
    <mergeCell ref="H1:I1"/>
  </mergeCells>
  <conditionalFormatting sqref="B1">
    <cfRule type="cellIs" dxfId="53" priority="1" operator="equal">
      <formula>"Incomplete"</formula>
    </cfRule>
    <cfRule type="cellIs" dxfId="52" priority="2" operator="equal">
      <formula>"Flag for Review"</formula>
    </cfRule>
    <cfRule type="cellIs" dxfId="51" priority="3" operator="equal">
      <formula>"Finished"</formula>
    </cfRule>
  </conditionalFormatting>
  <dataValidations count="1">
    <dataValidation type="list" allowBlank="1" showInputMessage="1" showErrorMessage="1" sqref="B1">
      <formula1>"Finished, Flag for Review, Incomplete"</formula1>
    </dataValidation>
  </dataValidations>
  <hyperlinks>
    <hyperlink ref="H1" location="'Point Grid'!A8" display="Return to Point Grid"/>
    <hyperlink ref="H1:I1" location="'Point Grid'!A1" display="Return to Point Grid"/>
  </hyperlink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Y152"/>
  <sheetViews>
    <sheetView zoomScaleNormal="100" workbookViewId="0"/>
  </sheetViews>
  <sheetFormatPr defaultColWidth="9.140625" defaultRowHeight="15" x14ac:dyDescent="0.25"/>
  <cols>
    <col min="1" max="1" width="9.140625" style="21"/>
    <col min="2" max="2" width="16" style="21" bestFit="1" customWidth="1"/>
    <col min="3" max="13" width="11.140625" style="21" customWidth="1"/>
    <col min="14" max="16384" width="9.140625" style="21"/>
  </cols>
  <sheetData>
    <row r="1" spans="1:25" x14ac:dyDescent="0.25">
      <c r="A1" s="7">
        <v>14</v>
      </c>
      <c r="B1" s="27" t="s">
        <v>12</v>
      </c>
      <c r="C1" s="20"/>
      <c r="D1" s="20"/>
      <c r="E1" s="20"/>
      <c r="F1" s="20"/>
      <c r="G1" s="20"/>
      <c r="H1" s="20"/>
      <c r="I1" s="20"/>
      <c r="J1" s="20"/>
      <c r="K1" s="20"/>
      <c r="L1" s="384" t="s">
        <v>24</v>
      </c>
      <c r="M1" s="385"/>
      <c r="O1"/>
      <c r="P1"/>
      <c r="Q1"/>
      <c r="R1"/>
      <c r="S1"/>
      <c r="T1"/>
      <c r="U1"/>
      <c r="V1"/>
      <c r="W1"/>
      <c r="X1"/>
      <c r="Y1"/>
    </row>
    <row r="2" spans="1:25" x14ac:dyDescent="0.25">
      <c r="A2" s="22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23"/>
      <c r="O2"/>
      <c r="P2"/>
      <c r="Q2"/>
      <c r="R2"/>
      <c r="S2"/>
      <c r="T2"/>
      <c r="U2"/>
      <c r="V2"/>
      <c r="W2"/>
      <c r="X2"/>
      <c r="Y2"/>
    </row>
    <row r="3" spans="1:25" x14ac:dyDescent="0.25">
      <c r="A3" s="8" t="s">
        <v>13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8"/>
      <c r="N3" s="31"/>
      <c r="O3"/>
      <c r="P3"/>
      <c r="Q3"/>
      <c r="R3"/>
      <c r="S3"/>
      <c r="T3"/>
      <c r="U3"/>
      <c r="V3"/>
      <c r="W3"/>
      <c r="X3"/>
      <c r="Y3"/>
    </row>
    <row r="4" spans="1:25" x14ac:dyDescent="0.25">
      <c r="A4" s="9">
        <f>INDEX('Point Grid'!B:B,MATCH(A1,'Point Grid'!A:A,0))</f>
        <v>2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8"/>
      <c r="N4" s="31"/>
      <c r="O4"/>
      <c r="P4"/>
      <c r="Q4"/>
      <c r="R4"/>
      <c r="S4"/>
      <c r="T4"/>
      <c r="U4"/>
      <c r="V4"/>
      <c r="W4"/>
      <c r="X4"/>
      <c r="Y4"/>
    </row>
    <row r="5" spans="1:25" x14ac:dyDescent="0.25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8"/>
      <c r="N5" s="31"/>
      <c r="O5"/>
      <c r="P5"/>
      <c r="Q5"/>
      <c r="R5"/>
      <c r="S5"/>
      <c r="T5"/>
      <c r="U5"/>
      <c r="V5"/>
      <c r="W5"/>
      <c r="X5"/>
      <c r="Y5"/>
    </row>
    <row r="6" spans="1:25" x14ac:dyDescent="0.25">
      <c r="A6" s="25" t="s">
        <v>2</v>
      </c>
      <c r="B6" s="163" t="s">
        <v>168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8"/>
      <c r="N6" s="31"/>
      <c r="O6"/>
      <c r="P6"/>
      <c r="Q6"/>
      <c r="R6"/>
      <c r="S6"/>
      <c r="T6"/>
      <c r="U6"/>
      <c r="V6"/>
      <c r="W6"/>
      <c r="X6"/>
      <c r="Y6"/>
    </row>
    <row r="7" spans="1:25" ht="15.75" thickBot="1" x14ac:dyDescent="0.3">
      <c r="A7" s="9">
        <f>INDEX('Point Grid'!$C$8:$I$54,MATCH($A$1,'Point Grid'!$A$8:$A$54,0),MATCH(A6,'Point Grid'!$C$7:$I$7,0))</f>
        <v>2</v>
      </c>
      <c r="B7" s="17" t="s">
        <v>169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8"/>
      <c r="N7" s="31"/>
      <c r="O7"/>
      <c r="P7"/>
      <c r="Q7"/>
      <c r="R7"/>
      <c r="S7"/>
      <c r="T7"/>
      <c r="U7"/>
      <c r="V7"/>
      <c r="W7"/>
      <c r="X7"/>
      <c r="Y7"/>
    </row>
    <row r="8" spans="1:25" ht="15.75" thickBot="1" x14ac:dyDescent="0.3">
      <c r="A8" s="5"/>
      <c r="B8" s="17" t="s">
        <v>170</v>
      </c>
      <c r="C8" s="28"/>
      <c r="D8" s="28"/>
      <c r="E8" s="28"/>
      <c r="F8" s="28"/>
      <c r="G8" s="28"/>
      <c r="H8" s="28"/>
      <c r="I8" s="28"/>
      <c r="J8" s="28"/>
      <c r="K8" s="28"/>
      <c r="L8" s="28"/>
      <c r="M8" s="18"/>
      <c r="N8" s="31"/>
      <c r="O8"/>
      <c r="P8"/>
      <c r="Q8"/>
      <c r="R8"/>
      <c r="S8"/>
      <c r="T8"/>
      <c r="U8"/>
      <c r="V8"/>
      <c r="W8"/>
      <c r="X8"/>
      <c r="Y8"/>
    </row>
    <row r="9" spans="1:25" x14ac:dyDescent="0.25">
      <c r="A9" s="25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8"/>
      <c r="N9" s="31"/>
      <c r="O9"/>
      <c r="P9"/>
      <c r="Q9"/>
      <c r="R9"/>
      <c r="S9"/>
      <c r="T9"/>
      <c r="U9"/>
      <c r="V9"/>
      <c r="W9"/>
      <c r="X9"/>
      <c r="Y9"/>
    </row>
    <row r="10" spans="1:25" x14ac:dyDescent="0.25">
      <c r="A10" s="25"/>
      <c r="B10" s="17" t="s">
        <v>171</v>
      </c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18"/>
      <c r="N10" s="31"/>
      <c r="O10"/>
      <c r="P10"/>
      <c r="Q10"/>
      <c r="R10"/>
      <c r="S10"/>
      <c r="T10"/>
      <c r="U10"/>
      <c r="V10"/>
      <c r="W10"/>
      <c r="X10"/>
      <c r="Y10"/>
    </row>
    <row r="11" spans="1:25" x14ac:dyDescent="0.25">
      <c r="A11" s="25"/>
      <c r="B11" s="17" t="s">
        <v>167</v>
      </c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18"/>
      <c r="N11" s="31"/>
      <c r="O11"/>
      <c r="P11"/>
      <c r="Q11"/>
      <c r="R11"/>
      <c r="S11"/>
      <c r="T11"/>
      <c r="U11"/>
      <c r="V11"/>
      <c r="W11"/>
      <c r="X11"/>
      <c r="Y11"/>
    </row>
    <row r="12" spans="1:25" x14ac:dyDescent="0.25">
      <c r="A12" s="25"/>
      <c r="B12" s="17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18"/>
      <c r="N12" s="31"/>
      <c r="O12"/>
      <c r="P12"/>
      <c r="Q12"/>
      <c r="R12"/>
      <c r="S12"/>
      <c r="T12"/>
      <c r="U12"/>
      <c r="V12"/>
      <c r="W12"/>
      <c r="X12"/>
      <c r="Y12"/>
    </row>
    <row r="13" spans="1:25" x14ac:dyDescent="0.25">
      <c r="A13" s="25"/>
      <c r="B13" s="17" t="s">
        <v>172</v>
      </c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18"/>
      <c r="N13" s="31"/>
      <c r="O13"/>
      <c r="P13"/>
      <c r="Q13"/>
      <c r="R13"/>
      <c r="S13"/>
      <c r="T13"/>
      <c r="U13"/>
      <c r="V13"/>
      <c r="W13"/>
      <c r="X13"/>
      <c r="Y13"/>
    </row>
    <row r="14" spans="1:25" x14ac:dyDescent="0.25">
      <c r="A14" s="25"/>
      <c r="B14" s="17" t="s">
        <v>173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18"/>
      <c r="N14" s="31"/>
      <c r="O14"/>
      <c r="P14"/>
      <c r="Q14"/>
      <c r="R14"/>
      <c r="S14"/>
      <c r="T14"/>
      <c r="U14"/>
      <c r="V14"/>
      <c r="W14"/>
      <c r="X14"/>
      <c r="Y14"/>
    </row>
    <row r="15" spans="1:25" x14ac:dyDescent="0.25">
      <c r="A15" s="25"/>
      <c r="B15" s="17" t="s">
        <v>174</v>
      </c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18"/>
      <c r="N15" s="31"/>
      <c r="O15"/>
      <c r="P15"/>
      <c r="Q15"/>
      <c r="R15"/>
      <c r="S15"/>
      <c r="T15"/>
      <c r="U15"/>
      <c r="V15"/>
      <c r="W15"/>
      <c r="X15"/>
      <c r="Y15"/>
    </row>
    <row r="16" spans="1:25" x14ac:dyDescent="0.25">
      <c r="A16" s="25"/>
      <c r="B16" s="17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18"/>
      <c r="N16" s="31"/>
      <c r="O16"/>
      <c r="P16"/>
      <c r="Q16"/>
      <c r="R16"/>
      <c r="S16"/>
      <c r="T16"/>
      <c r="U16"/>
      <c r="V16"/>
      <c r="W16"/>
      <c r="X16"/>
      <c r="Y16"/>
    </row>
    <row r="17" spans="1:25" x14ac:dyDescent="0.25">
      <c r="A17" s="25"/>
      <c r="B17" s="96" t="s">
        <v>175</v>
      </c>
      <c r="C17" s="96"/>
      <c r="D17" s="96"/>
      <c r="E17" s="96"/>
      <c r="F17" s="96"/>
      <c r="G17" s="96"/>
      <c r="H17" s="96"/>
      <c r="I17" s="96"/>
      <c r="J17" s="96"/>
      <c r="K17" s="96"/>
      <c r="L17" s="116"/>
      <c r="M17" s="18"/>
      <c r="N17" s="31"/>
      <c r="O17"/>
      <c r="P17"/>
      <c r="Q17"/>
      <c r="R17"/>
      <c r="S17"/>
      <c r="T17"/>
      <c r="U17"/>
      <c r="V17"/>
      <c r="W17"/>
      <c r="X17"/>
      <c r="Y17"/>
    </row>
    <row r="18" spans="1:25" ht="15" customHeight="1" x14ac:dyDescent="0.25">
      <c r="A18" s="25"/>
      <c r="B18" s="96" t="s">
        <v>176</v>
      </c>
      <c r="C18" s="96"/>
      <c r="D18" s="96"/>
      <c r="E18" s="96"/>
      <c r="F18" s="96"/>
      <c r="G18" s="96"/>
      <c r="H18" s="96"/>
      <c r="I18" s="96"/>
      <c r="J18" s="96"/>
      <c r="K18" s="96"/>
      <c r="L18" s="116"/>
      <c r="M18" s="18"/>
      <c r="N18" s="31"/>
      <c r="O18"/>
      <c r="P18"/>
      <c r="Q18"/>
      <c r="R18"/>
      <c r="S18"/>
      <c r="T18"/>
      <c r="U18"/>
      <c r="V18"/>
      <c r="W18"/>
      <c r="X18"/>
      <c r="Y18"/>
    </row>
    <row r="19" spans="1:25" ht="15" customHeight="1" x14ac:dyDescent="0.25">
      <c r="A19" s="25"/>
      <c r="B19" s="96" t="s">
        <v>177</v>
      </c>
      <c r="C19" s="96"/>
      <c r="D19" s="96"/>
      <c r="E19" s="96"/>
      <c r="F19" s="96"/>
      <c r="G19" s="96"/>
      <c r="H19" s="96"/>
      <c r="I19" s="96"/>
      <c r="J19" s="96"/>
      <c r="K19" s="96"/>
      <c r="L19" s="116"/>
      <c r="M19" s="18"/>
      <c r="N19" s="31"/>
      <c r="O19"/>
      <c r="P19"/>
      <c r="Q19"/>
      <c r="R19"/>
      <c r="S19"/>
      <c r="T19"/>
      <c r="U19"/>
      <c r="V19"/>
      <c r="W19"/>
      <c r="X19"/>
      <c r="Y19"/>
    </row>
    <row r="20" spans="1:25" ht="15" customHeight="1" x14ac:dyDescent="0.25">
      <c r="A20" s="25"/>
      <c r="B20" s="96"/>
      <c r="C20" s="96"/>
      <c r="D20" s="96"/>
      <c r="E20" s="96"/>
      <c r="F20" s="96"/>
      <c r="G20" s="96"/>
      <c r="H20" s="96"/>
      <c r="I20" s="96"/>
      <c r="J20" s="96"/>
      <c r="K20" s="96"/>
      <c r="L20" s="116"/>
      <c r="M20" s="18"/>
      <c r="N20" s="31"/>
      <c r="O20"/>
      <c r="P20"/>
      <c r="Q20"/>
      <c r="R20"/>
      <c r="S20"/>
      <c r="T20"/>
      <c r="U20"/>
      <c r="V20"/>
      <c r="W20"/>
      <c r="X20"/>
      <c r="Y20"/>
    </row>
    <row r="21" spans="1:25" ht="15" customHeight="1" x14ac:dyDescent="0.25">
      <c r="A21" s="25"/>
      <c r="B21" s="132" t="s">
        <v>178</v>
      </c>
      <c r="C21" s="147"/>
      <c r="D21" s="147"/>
      <c r="E21" s="147"/>
      <c r="F21" s="147"/>
      <c r="G21" s="147"/>
      <c r="H21" s="147"/>
      <c r="I21" s="147"/>
      <c r="J21" s="147"/>
      <c r="K21" s="133"/>
      <c r="L21" s="116"/>
      <c r="M21" s="18"/>
      <c r="N21" s="31"/>
      <c r="O21"/>
      <c r="P21"/>
      <c r="Q21"/>
      <c r="R21"/>
      <c r="S21"/>
      <c r="T21"/>
      <c r="U21"/>
      <c r="V21"/>
      <c r="W21"/>
      <c r="X21"/>
      <c r="Y21"/>
    </row>
    <row r="22" spans="1:25" ht="15" customHeight="1" x14ac:dyDescent="0.25">
      <c r="A22" s="25"/>
      <c r="B22" s="96"/>
      <c r="C22" s="96"/>
      <c r="D22" s="96"/>
      <c r="E22" s="96"/>
      <c r="F22" s="96"/>
      <c r="G22" s="96"/>
      <c r="H22" s="96"/>
      <c r="I22" s="96"/>
      <c r="J22" s="96"/>
      <c r="K22" s="96"/>
      <c r="L22" s="116"/>
      <c r="M22" s="18"/>
      <c r="N22" s="31"/>
      <c r="O22"/>
      <c r="P22"/>
      <c r="Q22"/>
      <c r="R22"/>
      <c r="S22"/>
      <c r="T22"/>
      <c r="U22"/>
      <c r="V22"/>
      <c r="W22"/>
      <c r="X22"/>
      <c r="Y22"/>
    </row>
    <row r="23" spans="1:25" ht="15" customHeight="1" x14ac:dyDescent="0.25">
      <c r="A23" s="25"/>
      <c r="B23" s="114" t="s">
        <v>179</v>
      </c>
      <c r="C23" s="115"/>
      <c r="D23" s="115"/>
      <c r="E23" s="115"/>
      <c r="F23" s="115"/>
      <c r="G23" s="115"/>
      <c r="H23" s="115"/>
      <c r="I23" s="96"/>
      <c r="J23" s="96"/>
      <c r="K23" s="96"/>
      <c r="L23" s="116"/>
      <c r="M23" s="18"/>
      <c r="N23" s="31"/>
      <c r="O23"/>
      <c r="P23"/>
      <c r="Q23"/>
      <c r="R23"/>
      <c r="S23"/>
      <c r="T23"/>
      <c r="U23"/>
      <c r="V23"/>
      <c r="W23"/>
      <c r="X23"/>
      <c r="Y23"/>
    </row>
    <row r="24" spans="1:25" ht="15" customHeight="1" thickBot="1" x14ac:dyDescent="0.3">
      <c r="A24" s="25"/>
      <c r="B24" s="96"/>
      <c r="C24" s="96"/>
      <c r="D24" s="96"/>
      <c r="E24" s="96"/>
      <c r="F24" s="96"/>
      <c r="G24" s="96"/>
      <c r="H24" s="96"/>
      <c r="I24" s="96"/>
      <c r="J24" s="96"/>
      <c r="K24" s="96"/>
      <c r="L24" s="116"/>
      <c r="M24" s="18"/>
      <c r="N24" s="31"/>
      <c r="O24"/>
      <c r="P24"/>
      <c r="Q24"/>
      <c r="R24"/>
      <c r="S24"/>
      <c r="T24"/>
      <c r="U24"/>
      <c r="V24"/>
      <c r="W24"/>
      <c r="X24"/>
      <c r="Y24"/>
    </row>
    <row r="25" spans="1:25" ht="15" customHeight="1" x14ac:dyDescent="0.25">
      <c r="A25" s="25"/>
      <c r="B25" s="164"/>
      <c r="C25" s="164"/>
      <c r="D25" s="179"/>
      <c r="E25" s="180"/>
      <c r="F25" s="180"/>
      <c r="G25" s="180"/>
      <c r="H25" s="180"/>
      <c r="I25" s="180"/>
      <c r="J25" s="181"/>
      <c r="K25" s="116"/>
      <c r="L25" s="116"/>
      <c r="M25" s="18"/>
      <c r="N25" s="31"/>
      <c r="O25"/>
      <c r="P25"/>
      <c r="Q25"/>
      <c r="R25"/>
      <c r="S25"/>
      <c r="T25"/>
      <c r="U25"/>
      <c r="V25"/>
      <c r="W25"/>
      <c r="X25"/>
      <c r="Y25"/>
    </row>
    <row r="26" spans="1:25" ht="15" customHeight="1" x14ac:dyDescent="0.25">
      <c r="A26" s="25"/>
      <c r="B26" s="96"/>
      <c r="C26" s="96"/>
      <c r="D26" s="182"/>
      <c r="E26" s="98"/>
      <c r="F26" s="98"/>
      <c r="G26" s="98"/>
      <c r="H26" s="98"/>
      <c r="I26" s="98"/>
      <c r="J26" s="183"/>
      <c r="K26" s="116"/>
      <c r="L26" s="116"/>
      <c r="M26" s="18"/>
      <c r="N26" s="31"/>
      <c r="O26"/>
      <c r="P26"/>
      <c r="Q26"/>
      <c r="R26"/>
      <c r="S26"/>
      <c r="T26"/>
      <c r="U26"/>
      <c r="V26"/>
      <c r="W26"/>
      <c r="X26"/>
      <c r="Y26"/>
    </row>
    <row r="27" spans="1:25" ht="15" customHeight="1" x14ac:dyDescent="0.25">
      <c r="A27" s="25"/>
      <c r="B27" s="165"/>
      <c r="C27" s="165" t="s">
        <v>180</v>
      </c>
      <c r="D27" s="182"/>
      <c r="E27" s="123"/>
      <c r="F27" s="98"/>
      <c r="G27" s="98"/>
      <c r="H27" s="98"/>
      <c r="I27" s="98"/>
      <c r="J27" s="183"/>
      <c r="K27" s="166">
        <v>100</v>
      </c>
      <c r="L27" s="116"/>
      <c r="M27" s="18"/>
      <c r="N27" s="31"/>
      <c r="O27"/>
      <c r="P27"/>
      <c r="Q27"/>
      <c r="R27"/>
      <c r="S27"/>
      <c r="T27"/>
      <c r="U27"/>
      <c r="V27"/>
      <c r="W27"/>
      <c r="X27"/>
      <c r="Y27"/>
    </row>
    <row r="28" spans="1:25" ht="15" customHeight="1" x14ac:dyDescent="0.25">
      <c r="A28" s="25"/>
      <c r="B28" s="96"/>
      <c r="C28" s="96"/>
      <c r="D28" s="182"/>
      <c r="E28" s="126"/>
      <c r="F28" s="98"/>
      <c r="G28" s="98"/>
      <c r="H28" s="98"/>
      <c r="I28" s="98"/>
      <c r="J28" s="183"/>
      <c r="K28" s="166"/>
      <c r="L28" s="116"/>
      <c r="M28" s="18"/>
      <c r="N28" s="31"/>
      <c r="O28"/>
      <c r="P28"/>
      <c r="Q28"/>
      <c r="R28"/>
      <c r="S28"/>
      <c r="T28"/>
      <c r="U28"/>
      <c r="V28"/>
      <c r="W28"/>
      <c r="X28"/>
      <c r="Y28"/>
    </row>
    <row r="29" spans="1:25" ht="15" customHeight="1" x14ac:dyDescent="0.25">
      <c r="A29" s="25"/>
      <c r="B29" s="96"/>
      <c r="C29" s="167" t="s">
        <v>181</v>
      </c>
      <c r="D29" s="182"/>
      <c r="E29" s="126"/>
      <c r="F29" s="98"/>
      <c r="G29" s="98"/>
      <c r="H29" s="98"/>
      <c r="I29" s="98"/>
      <c r="J29" s="183"/>
      <c r="K29" s="168" t="s">
        <v>113</v>
      </c>
      <c r="L29" s="167"/>
      <c r="M29" s="18"/>
      <c r="N29" s="31"/>
      <c r="O29"/>
      <c r="P29"/>
      <c r="Q29"/>
      <c r="R29"/>
      <c r="S29"/>
      <c r="T29"/>
      <c r="U29"/>
      <c r="V29"/>
      <c r="W29"/>
      <c r="X29"/>
      <c r="Y29"/>
    </row>
    <row r="30" spans="1:25" ht="15" customHeight="1" x14ac:dyDescent="0.25">
      <c r="A30" s="25"/>
      <c r="B30" s="96"/>
      <c r="C30" s="96"/>
      <c r="D30" s="182"/>
      <c r="E30" s="126"/>
      <c r="F30" s="98"/>
      <c r="G30" s="98"/>
      <c r="H30" s="98"/>
      <c r="I30" s="98"/>
      <c r="J30" s="183"/>
      <c r="K30" s="166"/>
      <c r="L30" s="116"/>
      <c r="M30" s="18"/>
      <c r="N30" s="31"/>
      <c r="O30"/>
      <c r="P30"/>
      <c r="Q30"/>
      <c r="R30"/>
      <c r="S30"/>
      <c r="T30"/>
      <c r="U30"/>
      <c r="V30"/>
      <c r="W30"/>
      <c r="X30"/>
      <c r="Y30"/>
    </row>
    <row r="31" spans="1:25" ht="15" customHeight="1" x14ac:dyDescent="0.35">
      <c r="A31" s="25"/>
      <c r="B31" s="165"/>
      <c r="C31" s="165" t="s">
        <v>182</v>
      </c>
      <c r="D31" s="182"/>
      <c r="E31" s="126"/>
      <c r="F31" s="98"/>
      <c r="G31" s="123"/>
      <c r="H31" s="98"/>
      <c r="I31" s="169" t="s">
        <v>183</v>
      </c>
      <c r="J31" s="183"/>
      <c r="K31" s="166">
        <v>50</v>
      </c>
      <c r="L31" s="116"/>
      <c r="M31" s="18"/>
      <c r="N31" s="31"/>
      <c r="O31"/>
      <c r="P31"/>
      <c r="Q31"/>
      <c r="R31"/>
      <c r="S31"/>
      <c r="T31"/>
      <c r="U31"/>
      <c r="V31"/>
      <c r="W31"/>
      <c r="X31"/>
      <c r="Y31"/>
    </row>
    <row r="32" spans="1:25" ht="15" customHeight="1" x14ac:dyDescent="0.35">
      <c r="A32" s="25"/>
      <c r="B32" s="96"/>
      <c r="C32" s="96"/>
      <c r="D32" s="182"/>
      <c r="E32" s="126"/>
      <c r="F32" s="98"/>
      <c r="G32" s="170" t="s">
        <v>183</v>
      </c>
      <c r="H32" s="98"/>
      <c r="I32" s="98"/>
      <c r="J32" s="183"/>
      <c r="K32" s="166"/>
      <c r="L32" s="116"/>
      <c r="M32" s="18"/>
      <c r="N32" s="31"/>
      <c r="O32"/>
      <c r="P32"/>
      <c r="Q32"/>
      <c r="R32"/>
      <c r="S32"/>
      <c r="T32"/>
      <c r="U32"/>
      <c r="V32"/>
      <c r="W32"/>
      <c r="X32"/>
      <c r="Y32"/>
    </row>
    <row r="33" spans="1:25" ht="15" customHeight="1" x14ac:dyDescent="0.35">
      <c r="A33" s="25"/>
      <c r="B33" s="96"/>
      <c r="C33" s="96"/>
      <c r="D33" s="182"/>
      <c r="E33" s="170" t="s">
        <v>183</v>
      </c>
      <c r="F33" s="98"/>
      <c r="G33" s="126"/>
      <c r="H33" s="98"/>
      <c r="I33" s="123"/>
      <c r="J33" s="183"/>
      <c r="K33" s="166"/>
      <c r="L33" s="116"/>
      <c r="M33" s="18"/>
      <c r="N33" s="31"/>
      <c r="O33"/>
      <c r="P33"/>
      <c r="Q33"/>
      <c r="R33"/>
      <c r="S33"/>
      <c r="T33"/>
      <c r="U33"/>
      <c r="V33"/>
      <c r="W33"/>
      <c r="X33"/>
      <c r="Y33"/>
    </row>
    <row r="34" spans="1:25" ht="15" customHeight="1" x14ac:dyDescent="0.25">
      <c r="A34" s="25"/>
      <c r="B34" s="96"/>
      <c r="C34" s="96"/>
      <c r="D34" s="182"/>
      <c r="E34" s="126"/>
      <c r="F34" s="98"/>
      <c r="G34" s="126"/>
      <c r="H34" s="98"/>
      <c r="I34" s="126"/>
      <c r="J34" s="183"/>
      <c r="K34" s="166"/>
      <c r="L34" s="116"/>
      <c r="M34" s="18"/>
      <c r="N34" s="31"/>
      <c r="O34"/>
      <c r="P34"/>
      <c r="Q34"/>
      <c r="R34"/>
      <c r="S34"/>
      <c r="T34"/>
      <c r="U34"/>
      <c r="V34"/>
      <c r="W34"/>
      <c r="X34"/>
      <c r="Y34"/>
    </row>
    <row r="35" spans="1:25" ht="15" customHeight="1" thickBot="1" x14ac:dyDescent="0.3">
      <c r="A35" s="25"/>
      <c r="B35" s="165"/>
      <c r="C35" s="165" t="s">
        <v>184</v>
      </c>
      <c r="D35" s="184"/>
      <c r="E35" s="185"/>
      <c r="F35" s="186"/>
      <c r="G35" s="185"/>
      <c r="H35" s="186"/>
      <c r="I35" s="185"/>
      <c r="J35" s="187"/>
      <c r="K35" s="166">
        <v>0</v>
      </c>
      <c r="L35" s="116"/>
      <c r="M35" s="18"/>
      <c r="N35" s="31"/>
      <c r="O35"/>
      <c r="P35"/>
      <c r="Q35"/>
      <c r="R35"/>
      <c r="S35"/>
      <c r="T35"/>
      <c r="U35"/>
      <c r="V35"/>
      <c r="W35"/>
      <c r="X35"/>
      <c r="Y35"/>
    </row>
    <row r="36" spans="1:25" ht="15" customHeight="1" x14ac:dyDescent="0.25">
      <c r="A36" s="25"/>
      <c r="B36" s="96"/>
      <c r="C36" s="96"/>
      <c r="D36" s="154"/>
      <c r="E36" s="154" t="s">
        <v>185</v>
      </c>
      <c r="F36" s="154"/>
      <c r="G36" s="154" t="s">
        <v>186</v>
      </c>
      <c r="H36" s="154"/>
      <c r="I36" s="154" t="s">
        <v>187</v>
      </c>
      <c r="J36" s="96"/>
      <c r="K36" s="96"/>
      <c r="L36" s="116"/>
      <c r="M36" s="18"/>
      <c r="N36" s="31"/>
      <c r="O36"/>
      <c r="P36"/>
      <c r="Q36"/>
      <c r="R36"/>
      <c r="S36"/>
      <c r="T36"/>
      <c r="U36"/>
      <c r="V36"/>
      <c r="W36"/>
      <c r="X36"/>
      <c r="Y36"/>
    </row>
    <row r="37" spans="1:25" ht="15" customHeight="1" x14ac:dyDescent="0.25">
      <c r="A37" s="25"/>
      <c r="B37" s="96"/>
      <c r="C37" s="96"/>
      <c r="D37" s="96"/>
      <c r="E37" s="96"/>
      <c r="F37" s="114"/>
      <c r="G37" s="171" t="s">
        <v>188</v>
      </c>
      <c r="H37" s="96"/>
      <c r="I37" s="96"/>
      <c r="J37" s="96"/>
      <c r="K37" s="96"/>
      <c r="L37" s="116"/>
      <c r="M37" s="18"/>
      <c r="N37" s="31"/>
      <c r="O37"/>
      <c r="P37"/>
      <c r="Q37"/>
      <c r="R37"/>
      <c r="S37"/>
      <c r="T37"/>
      <c r="U37"/>
      <c r="V37"/>
      <c r="W37"/>
      <c r="X37"/>
      <c r="Y37"/>
    </row>
    <row r="38" spans="1:25" ht="15" customHeight="1" x14ac:dyDescent="0.25">
      <c r="A38" s="25"/>
      <c r="B38" s="96"/>
      <c r="C38" s="96"/>
      <c r="D38" s="96"/>
      <c r="E38" s="96"/>
      <c r="F38" s="96"/>
      <c r="G38" s="96"/>
      <c r="H38" s="96"/>
      <c r="I38" s="96"/>
      <c r="J38" s="96"/>
      <c r="K38" s="96"/>
      <c r="L38" s="116"/>
      <c r="M38" s="18"/>
      <c r="N38" s="31"/>
      <c r="O38"/>
      <c r="P38"/>
      <c r="Q38"/>
      <c r="R38"/>
      <c r="S38"/>
      <c r="T38"/>
      <c r="U38"/>
      <c r="V38"/>
      <c r="W38"/>
      <c r="X38"/>
      <c r="Y38"/>
    </row>
    <row r="39" spans="1:25" ht="15" customHeight="1" x14ac:dyDescent="0.35">
      <c r="A39" s="25"/>
      <c r="B39" s="96"/>
      <c r="C39" s="96"/>
      <c r="D39" s="96"/>
      <c r="E39" s="172"/>
      <c r="F39" s="173"/>
      <c r="G39" s="174" t="s">
        <v>183</v>
      </c>
      <c r="H39" s="175"/>
      <c r="I39" s="175"/>
      <c r="J39" s="176"/>
      <c r="K39" s="175"/>
      <c r="L39" s="116"/>
      <c r="M39" s="18"/>
      <c r="N39" s="31"/>
      <c r="O39"/>
      <c r="P39"/>
      <c r="Q39"/>
      <c r="R39"/>
      <c r="S39"/>
      <c r="T39"/>
      <c r="U39"/>
      <c r="V39"/>
      <c r="W39"/>
      <c r="X39"/>
      <c r="Y39"/>
    </row>
    <row r="40" spans="1:25" ht="15" customHeight="1" x14ac:dyDescent="0.25">
      <c r="A40" s="25"/>
      <c r="B40" s="116"/>
      <c r="C40" s="116"/>
      <c r="D40" s="96"/>
      <c r="E40" s="168" t="s">
        <v>189</v>
      </c>
      <c r="F40" s="175"/>
      <c r="G40" s="175" t="s">
        <v>190</v>
      </c>
      <c r="H40" s="175"/>
      <c r="I40" s="175"/>
      <c r="J40" s="177" t="s">
        <v>191</v>
      </c>
      <c r="K40" s="175"/>
      <c r="L40" s="116"/>
      <c r="M40" s="18"/>
      <c r="N40" s="31"/>
      <c r="O40"/>
      <c r="P40"/>
      <c r="Q40"/>
      <c r="R40"/>
      <c r="S40"/>
      <c r="T40"/>
      <c r="U40"/>
      <c r="V40"/>
      <c r="W40"/>
      <c r="X40"/>
      <c r="Y40"/>
    </row>
    <row r="41" spans="1:25" ht="15" customHeight="1" x14ac:dyDescent="0.25">
      <c r="A41" s="25"/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8"/>
      <c r="N41" s="31"/>
      <c r="O41"/>
      <c r="P41"/>
      <c r="Q41"/>
      <c r="R41"/>
      <c r="S41"/>
      <c r="T41"/>
      <c r="U41"/>
      <c r="V41"/>
      <c r="W41"/>
      <c r="X41"/>
      <c r="Y41"/>
    </row>
    <row r="42" spans="1:25" ht="15" customHeight="1" x14ac:dyDescent="0.25">
      <c r="A42" s="25"/>
      <c r="B42" s="114" t="s">
        <v>192</v>
      </c>
      <c r="C42" s="115"/>
      <c r="D42" s="115"/>
      <c r="E42" s="115"/>
      <c r="F42" s="115"/>
      <c r="G42" s="115"/>
      <c r="H42" s="115"/>
      <c r="I42" s="96"/>
      <c r="J42" s="96"/>
      <c r="K42" s="96"/>
      <c r="L42" s="115"/>
      <c r="M42" s="18"/>
      <c r="N42" s="31"/>
      <c r="O42"/>
      <c r="P42"/>
      <c r="Q42"/>
      <c r="R42"/>
      <c r="S42"/>
      <c r="T42"/>
      <c r="U42"/>
      <c r="V42"/>
      <c r="W42"/>
      <c r="X42"/>
      <c r="Y42"/>
    </row>
    <row r="43" spans="1:25" ht="15" customHeight="1" thickBot="1" x14ac:dyDescent="0.3">
      <c r="A43" s="25"/>
      <c r="B43" s="96"/>
      <c r="C43" s="96"/>
      <c r="D43" s="96"/>
      <c r="E43" s="96"/>
      <c r="F43" s="96"/>
      <c r="G43" s="96"/>
      <c r="H43" s="96"/>
      <c r="I43" s="96"/>
      <c r="J43" s="96"/>
      <c r="K43" s="96"/>
      <c r="L43" s="115"/>
      <c r="M43" s="18"/>
      <c r="N43" s="31"/>
      <c r="O43"/>
      <c r="P43"/>
      <c r="Q43"/>
      <c r="R43"/>
      <c r="S43"/>
      <c r="T43"/>
      <c r="U43"/>
      <c r="V43"/>
      <c r="W43"/>
      <c r="X43"/>
      <c r="Y43"/>
    </row>
    <row r="44" spans="1:25" ht="15" customHeight="1" x14ac:dyDescent="0.25">
      <c r="A44" s="25"/>
      <c r="B44" s="164"/>
      <c r="C44" s="164"/>
      <c r="D44" s="179"/>
      <c r="E44" s="180"/>
      <c r="F44" s="180"/>
      <c r="G44" s="180"/>
      <c r="H44" s="180"/>
      <c r="I44" s="180"/>
      <c r="J44" s="181"/>
      <c r="K44" s="116"/>
      <c r="L44" s="115"/>
      <c r="M44" s="18"/>
      <c r="N44" s="31"/>
      <c r="O44"/>
      <c r="P44"/>
      <c r="Q44"/>
      <c r="R44"/>
      <c r="S44"/>
      <c r="T44"/>
      <c r="U44"/>
      <c r="V44"/>
      <c r="W44"/>
      <c r="X44"/>
      <c r="Y44"/>
    </row>
    <row r="45" spans="1:25" ht="15" customHeight="1" x14ac:dyDescent="0.25">
      <c r="A45" s="25"/>
      <c r="B45" s="96"/>
      <c r="C45" s="96"/>
      <c r="D45" s="182"/>
      <c r="E45" s="98"/>
      <c r="F45" s="98"/>
      <c r="G45" s="98"/>
      <c r="H45" s="98"/>
      <c r="I45" s="98"/>
      <c r="J45" s="183"/>
      <c r="K45" s="116"/>
      <c r="L45" s="115"/>
      <c r="M45" s="18"/>
      <c r="N45" s="31"/>
      <c r="O45"/>
      <c r="P45"/>
      <c r="Q45"/>
      <c r="R45"/>
      <c r="S45"/>
      <c r="T45"/>
      <c r="U45"/>
      <c r="V45"/>
      <c r="W45"/>
      <c r="X45"/>
      <c r="Y45"/>
    </row>
    <row r="46" spans="1:25" ht="15" customHeight="1" x14ac:dyDescent="0.25">
      <c r="A46" s="25"/>
      <c r="B46" s="165"/>
      <c r="C46" s="165" t="s">
        <v>180</v>
      </c>
      <c r="D46" s="182"/>
      <c r="E46" s="123"/>
      <c r="F46" s="98"/>
      <c r="G46" s="98"/>
      <c r="H46" s="98"/>
      <c r="I46" s="98"/>
      <c r="J46" s="183"/>
      <c r="K46" s="166">
        <v>800</v>
      </c>
      <c r="L46" s="115"/>
      <c r="M46" s="18"/>
      <c r="N46" s="31"/>
      <c r="O46"/>
      <c r="P46"/>
      <c r="Q46"/>
      <c r="R46"/>
      <c r="S46"/>
      <c r="T46"/>
      <c r="U46"/>
      <c r="V46"/>
      <c r="W46"/>
      <c r="X46"/>
      <c r="Y46"/>
    </row>
    <row r="47" spans="1:25" ht="15" customHeight="1" x14ac:dyDescent="0.35">
      <c r="A47" s="25"/>
      <c r="B47" s="96"/>
      <c r="C47" s="96"/>
      <c r="D47" s="182"/>
      <c r="E47" s="126"/>
      <c r="F47" s="98"/>
      <c r="G47" s="98"/>
      <c r="H47" s="98"/>
      <c r="I47" s="169" t="s">
        <v>183</v>
      </c>
      <c r="J47" s="183"/>
      <c r="K47" s="166"/>
      <c r="L47" s="115"/>
      <c r="M47" s="18"/>
      <c r="N47" s="31"/>
      <c r="O47"/>
      <c r="P47"/>
      <c r="Q47"/>
      <c r="R47"/>
      <c r="S47"/>
      <c r="T47"/>
      <c r="U47"/>
      <c r="V47"/>
      <c r="W47"/>
      <c r="X47"/>
      <c r="Y47"/>
    </row>
    <row r="48" spans="1:25" ht="15" customHeight="1" x14ac:dyDescent="0.25">
      <c r="A48" s="25"/>
      <c r="B48" s="96"/>
      <c r="C48" s="167" t="s">
        <v>181</v>
      </c>
      <c r="D48" s="182"/>
      <c r="E48" s="126"/>
      <c r="F48" s="98"/>
      <c r="G48" s="98"/>
      <c r="H48" s="98"/>
      <c r="I48" s="98"/>
      <c r="J48" s="183"/>
      <c r="K48" s="168" t="s">
        <v>113</v>
      </c>
      <c r="L48" s="115"/>
      <c r="M48" s="18"/>
      <c r="N48" s="31"/>
      <c r="O48"/>
      <c r="P48"/>
      <c r="Q48"/>
      <c r="R48"/>
      <c r="S48"/>
      <c r="T48"/>
      <c r="U48"/>
      <c r="V48"/>
      <c r="W48"/>
      <c r="X48"/>
      <c r="Y48"/>
    </row>
    <row r="49" spans="1:25" ht="15" customHeight="1" x14ac:dyDescent="0.25">
      <c r="A49" s="25"/>
      <c r="B49" s="96"/>
      <c r="C49" s="96"/>
      <c r="D49" s="182"/>
      <c r="E49" s="126"/>
      <c r="F49" s="98"/>
      <c r="G49" s="98"/>
      <c r="H49" s="98"/>
      <c r="I49" s="98"/>
      <c r="J49" s="183"/>
      <c r="K49" s="166"/>
      <c r="L49" s="115"/>
      <c r="M49" s="18"/>
      <c r="N49" s="31"/>
      <c r="O49"/>
      <c r="P49"/>
      <c r="Q49"/>
      <c r="R49"/>
      <c r="S49"/>
      <c r="T49"/>
      <c r="U49"/>
      <c r="V49"/>
      <c r="W49"/>
      <c r="X49"/>
      <c r="Y49"/>
    </row>
    <row r="50" spans="1:25" ht="15" customHeight="1" x14ac:dyDescent="0.35">
      <c r="A50" s="25"/>
      <c r="B50" s="165"/>
      <c r="C50" s="165" t="s">
        <v>182</v>
      </c>
      <c r="D50" s="182"/>
      <c r="E50" s="126"/>
      <c r="F50" s="98"/>
      <c r="G50" s="178" t="s">
        <v>183</v>
      </c>
      <c r="H50" s="98"/>
      <c r="I50" s="169"/>
      <c r="J50" s="183"/>
      <c r="K50" s="166">
        <v>400</v>
      </c>
      <c r="L50" s="115"/>
      <c r="M50" s="18"/>
      <c r="N50" s="31"/>
      <c r="O50"/>
      <c r="P50"/>
      <c r="Q50"/>
      <c r="R50"/>
      <c r="S50"/>
      <c r="T50"/>
      <c r="U50"/>
      <c r="V50"/>
      <c r="W50"/>
      <c r="X50"/>
      <c r="Y50"/>
    </row>
    <row r="51" spans="1:25" ht="15" customHeight="1" x14ac:dyDescent="0.35">
      <c r="A51" s="25"/>
      <c r="B51" s="96"/>
      <c r="C51" s="96"/>
      <c r="D51" s="182"/>
      <c r="E51" s="126"/>
      <c r="F51" s="98"/>
      <c r="G51" s="170"/>
      <c r="H51" s="98"/>
      <c r="I51" s="98"/>
      <c r="J51" s="183"/>
      <c r="K51" s="166"/>
      <c r="L51" s="115"/>
      <c r="M51" s="18"/>
      <c r="N51" s="31"/>
      <c r="O51"/>
      <c r="P51"/>
      <c r="Q51"/>
      <c r="R51"/>
      <c r="S51"/>
      <c r="T51"/>
      <c r="U51"/>
      <c r="V51"/>
      <c r="W51"/>
      <c r="X51"/>
      <c r="Y51"/>
    </row>
    <row r="52" spans="1:25" ht="15" customHeight="1" x14ac:dyDescent="0.35">
      <c r="A52" s="25"/>
      <c r="B52" s="96"/>
      <c r="C52" s="96"/>
      <c r="D52" s="182"/>
      <c r="E52" s="170" t="s">
        <v>183</v>
      </c>
      <c r="F52" s="98"/>
      <c r="G52" s="126"/>
      <c r="H52" s="98"/>
      <c r="I52" s="123"/>
      <c r="J52" s="183"/>
      <c r="K52" s="166"/>
      <c r="L52" s="115"/>
      <c r="M52" s="18"/>
      <c r="N52" s="31"/>
      <c r="O52"/>
      <c r="P52"/>
      <c r="Q52"/>
      <c r="R52"/>
      <c r="S52"/>
      <c r="T52"/>
      <c r="U52"/>
      <c r="V52"/>
      <c r="W52"/>
      <c r="X52"/>
      <c r="Y52"/>
    </row>
    <row r="53" spans="1:25" ht="15" customHeight="1" x14ac:dyDescent="0.25">
      <c r="A53" s="25"/>
      <c r="B53" s="96"/>
      <c r="C53" s="96"/>
      <c r="D53" s="182"/>
      <c r="E53" s="126"/>
      <c r="F53" s="98"/>
      <c r="G53" s="126"/>
      <c r="H53" s="98"/>
      <c r="I53" s="126"/>
      <c r="J53" s="183"/>
      <c r="K53" s="166"/>
      <c r="L53" s="115"/>
      <c r="M53" s="18"/>
      <c r="N53" s="31"/>
      <c r="O53"/>
      <c r="P53"/>
      <c r="Q53"/>
      <c r="R53"/>
      <c r="S53"/>
      <c r="T53"/>
      <c r="U53"/>
      <c r="V53"/>
      <c r="W53"/>
      <c r="X53"/>
      <c r="Y53"/>
    </row>
    <row r="54" spans="1:25" ht="15" customHeight="1" thickBot="1" x14ac:dyDescent="0.3">
      <c r="A54" s="25"/>
      <c r="B54" s="165"/>
      <c r="C54" s="165" t="s">
        <v>184</v>
      </c>
      <c r="D54" s="184"/>
      <c r="E54" s="185"/>
      <c r="F54" s="186"/>
      <c r="G54" s="185"/>
      <c r="H54" s="186"/>
      <c r="I54" s="185"/>
      <c r="J54" s="187"/>
      <c r="K54" s="166">
        <v>0</v>
      </c>
      <c r="L54" s="115"/>
      <c r="M54" s="18"/>
      <c r="N54" s="31"/>
      <c r="O54"/>
      <c r="P54"/>
      <c r="Q54"/>
      <c r="R54"/>
      <c r="S54"/>
      <c r="T54"/>
      <c r="U54"/>
      <c r="V54"/>
      <c r="W54"/>
      <c r="X54"/>
      <c r="Y54"/>
    </row>
    <row r="55" spans="1:25" ht="15" customHeight="1" x14ac:dyDescent="0.25">
      <c r="A55" s="25"/>
      <c r="B55" s="96"/>
      <c r="C55" s="96"/>
      <c r="D55" s="154"/>
      <c r="E55" s="154" t="s">
        <v>185</v>
      </c>
      <c r="F55" s="154"/>
      <c r="G55" s="154" t="s">
        <v>186</v>
      </c>
      <c r="H55" s="154"/>
      <c r="I55" s="154" t="s">
        <v>187</v>
      </c>
      <c r="J55" s="96"/>
      <c r="K55" s="96"/>
      <c r="L55" s="115"/>
      <c r="M55" s="18"/>
      <c r="N55" s="31"/>
      <c r="O55"/>
      <c r="P55"/>
      <c r="Q55"/>
      <c r="R55"/>
      <c r="S55"/>
      <c r="T55"/>
      <c r="U55"/>
      <c r="V55"/>
      <c r="W55"/>
      <c r="X55"/>
      <c r="Y55"/>
    </row>
    <row r="56" spans="1:25" ht="15" customHeight="1" x14ac:dyDescent="0.25">
      <c r="A56" s="25"/>
      <c r="B56" s="96"/>
      <c r="C56" s="96"/>
      <c r="D56" s="96"/>
      <c r="E56" s="96"/>
      <c r="F56" s="114"/>
      <c r="G56" s="171" t="s">
        <v>188</v>
      </c>
      <c r="H56" s="96"/>
      <c r="I56" s="96"/>
      <c r="J56" s="96"/>
      <c r="K56" s="96"/>
      <c r="L56" s="115"/>
      <c r="M56" s="18"/>
      <c r="N56" s="31"/>
      <c r="O56"/>
      <c r="P56"/>
      <c r="Q56"/>
      <c r="R56"/>
      <c r="S56"/>
      <c r="T56"/>
      <c r="U56"/>
      <c r="V56"/>
      <c r="W56"/>
      <c r="X56"/>
      <c r="Y56"/>
    </row>
    <row r="57" spans="1:25" ht="15" customHeight="1" x14ac:dyDescent="0.25">
      <c r="A57" s="25"/>
      <c r="B57" s="96"/>
      <c r="C57" s="96"/>
      <c r="D57" s="89"/>
      <c r="E57" s="96"/>
      <c r="F57" s="96"/>
      <c r="G57" s="96"/>
      <c r="H57" s="96"/>
      <c r="I57" s="96"/>
      <c r="J57" s="96"/>
      <c r="K57" s="96"/>
      <c r="L57" s="96"/>
      <c r="M57" s="18"/>
      <c r="N57" s="31"/>
      <c r="O57"/>
      <c r="P57"/>
      <c r="Q57"/>
      <c r="R57"/>
      <c r="S57"/>
      <c r="T57"/>
      <c r="U57"/>
      <c r="V57"/>
      <c r="W57"/>
      <c r="X57"/>
      <c r="Y57"/>
    </row>
    <row r="58" spans="1:25" ht="15" customHeight="1" x14ac:dyDescent="0.35">
      <c r="A58" s="25"/>
      <c r="B58" s="96"/>
      <c r="C58" s="96"/>
      <c r="D58" s="89"/>
      <c r="E58" s="172"/>
      <c r="F58" s="173"/>
      <c r="G58" s="174" t="s">
        <v>183</v>
      </c>
      <c r="H58" s="175"/>
      <c r="I58" s="175"/>
      <c r="J58" s="176"/>
      <c r="K58" s="175"/>
      <c r="L58" s="96"/>
      <c r="M58" s="18"/>
      <c r="N58" s="31"/>
      <c r="O58"/>
      <c r="P58"/>
      <c r="Q58"/>
      <c r="R58"/>
      <c r="S58"/>
      <c r="T58"/>
      <c r="U58"/>
      <c r="V58"/>
      <c r="W58"/>
      <c r="X58"/>
      <c r="Y58"/>
    </row>
    <row r="59" spans="1:25" ht="15" customHeight="1" x14ac:dyDescent="0.25">
      <c r="A59" s="25"/>
      <c r="B59" s="116"/>
      <c r="C59" s="116"/>
      <c r="D59" s="89"/>
      <c r="E59" s="168" t="s">
        <v>189</v>
      </c>
      <c r="F59" s="175"/>
      <c r="G59" s="175" t="s">
        <v>190</v>
      </c>
      <c r="H59" s="175"/>
      <c r="I59" s="175"/>
      <c r="J59" s="177" t="s">
        <v>191</v>
      </c>
      <c r="K59" s="175"/>
      <c r="L59" s="116"/>
      <c r="M59" s="18"/>
      <c r="N59" s="31"/>
      <c r="O59"/>
      <c r="P59"/>
      <c r="Q59"/>
      <c r="R59"/>
      <c r="S59"/>
      <c r="T59"/>
      <c r="U59"/>
      <c r="V59"/>
      <c r="W59"/>
      <c r="X59"/>
      <c r="Y59"/>
    </row>
    <row r="60" spans="1:25" ht="15" customHeight="1" x14ac:dyDescent="0.25">
      <c r="A60" s="25"/>
      <c r="B60" s="17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18"/>
      <c r="N60" s="31"/>
      <c r="O60"/>
      <c r="P60"/>
      <c r="Q60"/>
      <c r="R60"/>
      <c r="S60"/>
      <c r="T60"/>
      <c r="U60"/>
      <c r="V60"/>
      <c r="W60"/>
      <c r="X60"/>
      <c r="Y60"/>
    </row>
    <row r="61" spans="1:25" ht="15" customHeight="1" x14ac:dyDescent="0.25">
      <c r="A61" s="25"/>
      <c r="B61" s="17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18"/>
      <c r="N61" s="31"/>
      <c r="O61"/>
      <c r="P61"/>
      <c r="Q61"/>
      <c r="R61"/>
      <c r="S61"/>
      <c r="T61"/>
      <c r="U61"/>
      <c r="V61"/>
      <c r="W61"/>
      <c r="X61"/>
      <c r="Y61"/>
    </row>
    <row r="62" spans="1:25" ht="15" customHeight="1" x14ac:dyDescent="0.25">
      <c r="A62" s="25"/>
      <c r="B62" s="17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18"/>
      <c r="N62" s="31"/>
      <c r="O62"/>
      <c r="P62"/>
      <c r="Q62"/>
      <c r="R62"/>
      <c r="S62"/>
      <c r="T62"/>
      <c r="U62"/>
      <c r="V62"/>
      <c r="W62"/>
      <c r="X62"/>
      <c r="Y62"/>
    </row>
    <row r="63" spans="1:25" ht="15" customHeight="1" x14ac:dyDescent="0.25">
      <c r="A63" s="25"/>
      <c r="B63" s="17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18"/>
      <c r="N63" s="31"/>
      <c r="O63"/>
      <c r="P63"/>
      <c r="Q63"/>
      <c r="R63"/>
      <c r="S63"/>
      <c r="T63"/>
      <c r="U63"/>
      <c r="V63"/>
      <c r="W63"/>
      <c r="X63"/>
      <c r="Y63"/>
    </row>
    <row r="64" spans="1:25" ht="15" customHeight="1" x14ac:dyDescent="0.25">
      <c r="A64" s="25"/>
      <c r="B64" s="17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18"/>
      <c r="N64" s="31"/>
      <c r="O64"/>
      <c r="P64"/>
      <c r="Q64"/>
      <c r="R64"/>
      <c r="S64"/>
      <c r="T64"/>
      <c r="U64"/>
      <c r="V64"/>
      <c r="W64"/>
      <c r="X64"/>
      <c r="Y64"/>
    </row>
    <row r="65" spans="1:25" ht="15" customHeight="1" x14ac:dyDescent="0.25">
      <c r="A65" s="25"/>
      <c r="B65" s="17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18"/>
      <c r="N65" s="31"/>
      <c r="O65"/>
      <c r="P65"/>
      <c r="Q65"/>
      <c r="R65"/>
      <c r="S65"/>
      <c r="T65"/>
      <c r="U65"/>
      <c r="V65"/>
      <c r="W65"/>
      <c r="X65"/>
      <c r="Y65"/>
    </row>
    <row r="66" spans="1:25" ht="15" customHeight="1" x14ac:dyDescent="0.25">
      <c r="A66" s="25"/>
      <c r="B66" s="17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18"/>
      <c r="N66" s="31"/>
      <c r="O66"/>
      <c r="P66"/>
      <c r="Q66"/>
      <c r="R66"/>
      <c r="S66"/>
      <c r="T66"/>
      <c r="U66"/>
      <c r="V66"/>
      <c r="W66"/>
      <c r="X66"/>
      <c r="Y66"/>
    </row>
    <row r="67" spans="1:25" ht="15" customHeight="1" x14ac:dyDescent="0.25">
      <c r="A67" s="25"/>
      <c r="B67" s="17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18"/>
      <c r="N67" s="31"/>
      <c r="O67"/>
      <c r="P67"/>
      <c r="Q67"/>
      <c r="R67"/>
      <c r="S67"/>
      <c r="T67"/>
      <c r="U67"/>
      <c r="V67"/>
      <c r="W67"/>
      <c r="X67"/>
      <c r="Y67"/>
    </row>
    <row r="68" spans="1:25" ht="15" customHeight="1" x14ac:dyDescent="0.25">
      <c r="A68" s="25"/>
      <c r="B68" s="17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18"/>
      <c r="N68" s="31"/>
      <c r="O68"/>
      <c r="P68"/>
      <c r="Q68"/>
      <c r="R68"/>
      <c r="S68"/>
      <c r="T68"/>
      <c r="U68"/>
      <c r="V68"/>
      <c r="W68"/>
      <c r="X68"/>
      <c r="Y68"/>
    </row>
    <row r="69" spans="1:25" ht="15" customHeight="1" x14ac:dyDescent="0.25">
      <c r="A69" s="25"/>
      <c r="B69" s="17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18"/>
      <c r="N69" s="31"/>
      <c r="O69"/>
      <c r="P69"/>
      <c r="Q69"/>
      <c r="R69"/>
      <c r="S69"/>
      <c r="T69"/>
      <c r="U69"/>
      <c r="V69"/>
      <c r="W69"/>
      <c r="X69"/>
      <c r="Y69"/>
    </row>
    <row r="70" spans="1:25" ht="15" customHeight="1" x14ac:dyDescent="0.25">
      <c r="A70" s="25"/>
      <c r="B70" s="17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18"/>
      <c r="N70" s="31"/>
      <c r="O70"/>
      <c r="P70"/>
      <c r="Q70"/>
      <c r="R70"/>
      <c r="S70"/>
      <c r="T70"/>
      <c r="U70"/>
      <c r="V70"/>
      <c r="W70"/>
      <c r="X70"/>
      <c r="Y70"/>
    </row>
    <row r="71" spans="1:25" ht="15" customHeight="1" x14ac:dyDescent="0.25">
      <c r="A71" s="25"/>
      <c r="B71" s="17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18"/>
      <c r="N71" s="31"/>
      <c r="O71"/>
      <c r="P71"/>
      <c r="Q71"/>
      <c r="R71"/>
      <c r="S71"/>
      <c r="T71"/>
      <c r="U71"/>
      <c r="V71"/>
      <c r="W71"/>
      <c r="X71"/>
      <c r="Y71"/>
    </row>
    <row r="72" spans="1:25" ht="15" customHeight="1" x14ac:dyDescent="0.25">
      <c r="A72" s="25"/>
      <c r="B72" s="17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18"/>
      <c r="N72" s="31"/>
      <c r="O72"/>
      <c r="P72"/>
      <c r="Q72"/>
      <c r="R72"/>
      <c r="S72"/>
      <c r="T72"/>
      <c r="U72"/>
      <c r="V72"/>
      <c r="W72"/>
      <c r="X72"/>
      <c r="Y72"/>
    </row>
    <row r="73" spans="1:25" ht="15" customHeight="1" x14ac:dyDescent="0.25">
      <c r="A73" s="25"/>
      <c r="B73" s="17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18"/>
      <c r="N73" s="31"/>
      <c r="O73"/>
      <c r="P73"/>
      <c r="Q73"/>
      <c r="R73"/>
      <c r="S73"/>
      <c r="T73"/>
      <c r="U73"/>
      <c r="V73"/>
      <c r="W73"/>
      <c r="X73"/>
      <c r="Y73"/>
    </row>
    <row r="74" spans="1:25" ht="15" customHeight="1" x14ac:dyDescent="0.25">
      <c r="A74" s="25"/>
      <c r="B74" s="17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18"/>
      <c r="N74" s="31"/>
      <c r="O74"/>
      <c r="P74"/>
      <c r="Q74"/>
      <c r="R74"/>
      <c r="S74"/>
      <c r="T74"/>
      <c r="U74"/>
      <c r="V74"/>
      <c r="W74"/>
      <c r="X74"/>
      <c r="Y74"/>
    </row>
    <row r="75" spans="1:25" ht="15" customHeight="1" x14ac:dyDescent="0.25">
      <c r="A75" s="25"/>
      <c r="B75" s="17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18"/>
      <c r="N75" s="31"/>
      <c r="O75"/>
      <c r="P75"/>
      <c r="Q75"/>
      <c r="R75"/>
      <c r="S75"/>
      <c r="T75"/>
      <c r="U75"/>
      <c r="V75"/>
      <c r="W75"/>
      <c r="X75"/>
      <c r="Y75"/>
    </row>
    <row r="76" spans="1:25" ht="15" customHeight="1" x14ac:dyDescent="0.25">
      <c r="A76" s="25"/>
      <c r="B76" s="17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18"/>
      <c r="N76" s="31"/>
      <c r="O76"/>
      <c r="P76"/>
      <c r="Q76"/>
      <c r="R76"/>
      <c r="S76"/>
      <c r="T76"/>
      <c r="U76"/>
      <c r="V76"/>
      <c r="W76"/>
      <c r="X76"/>
      <c r="Y76"/>
    </row>
    <row r="77" spans="1:25" ht="15" customHeight="1" x14ac:dyDescent="0.25">
      <c r="A77" s="25"/>
      <c r="B77" s="17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18"/>
      <c r="N77" s="31"/>
      <c r="O77"/>
      <c r="P77"/>
      <c r="Q77"/>
      <c r="R77"/>
      <c r="S77"/>
      <c r="T77"/>
      <c r="U77"/>
      <c r="V77"/>
      <c r="W77"/>
      <c r="X77"/>
      <c r="Y77"/>
    </row>
    <row r="78" spans="1:25" ht="15" customHeight="1" x14ac:dyDescent="0.25">
      <c r="A78" s="25"/>
      <c r="B78" s="17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18"/>
      <c r="N78" s="31"/>
      <c r="O78"/>
      <c r="P78"/>
      <c r="Q78"/>
      <c r="R78"/>
      <c r="S78"/>
      <c r="T78"/>
      <c r="U78"/>
      <c r="V78"/>
      <c r="W78"/>
      <c r="X78"/>
      <c r="Y78"/>
    </row>
    <row r="79" spans="1:25" ht="15" customHeight="1" x14ac:dyDescent="0.25">
      <c r="A79" s="25"/>
      <c r="B79" s="17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18"/>
      <c r="N79" s="31"/>
      <c r="O79"/>
      <c r="P79"/>
      <c r="Q79"/>
      <c r="R79"/>
      <c r="S79"/>
      <c r="T79"/>
      <c r="U79"/>
      <c r="V79"/>
      <c r="W79"/>
      <c r="X79"/>
      <c r="Y79"/>
    </row>
    <row r="80" spans="1:25" ht="15" customHeight="1" x14ac:dyDescent="0.25">
      <c r="A80" s="22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8"/>
      <c r="N80" s="31"/>
      <c r="O80"/>
      <c r="P80"/>
      <c r="Q80"/>
      <c r="R80"/>
      <c r="S80"/>
      <c r="T80"/>
      <c r="U80"/>
      <c r="V80"/>
      <c r="W80"/>
      <c r="X80"/>
      <c r="Y80"/>
    </row>
    <row r="81" spans="1:25" ht="15" customHeight="1" thickBot="1" x14ac:dyDescent="0.3">
      <c r="A81" s="24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3"/>
      <c r="N81" s="31"/>
      <c r="O81"/>
      <c r="P81"/>
      <c r="Q81"/>
      <c r="R81"/>
      <c r="S81"/>
      <c r="T81"/>
      <c r="U81"/>
      <c r="V81"/>
      <c r="W81"/>
      <c r="X81"/>
      <c r="Y81"/>
    </row>
    <row r="82" spans="1:25" ht="15" customHeight="1" x14ac:dyDescent="0.25"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/>
      <c r="P82"/>
      <c r="Q82"/>
      <c r="R82"/>
      <c r="S82"/>
      <c r="T82"/>
      <c r="U82"/>
      <c r="V82"/>
      <c r="W82"/>
      <c r="X82"/>
      <c r="Y82"/>
    </row>
    <row r="83" spans="1:25" ht="15" customHeight="1" x14ac:dyDescent="0.25">
      <c r="N83" s="31"/>
      <c r="O83"/>
      <c r="P83"/>
      <c r="Q83"/>
      <c r="R83"/>
      <c r="S83"/>
      <c r="T83"/>
      <c r="U83"/>
      <c r="V83"/>
      <c r="W83"/>
      <c r="X83"/>
      <c r="Y83"/>
    </row>
    <row r="84" spans="1:25" ht="15" customHeight="1" x14ac:dyDescent="0.25">
      <c r="N84" s="31"/>
      <c r="O84"/>
      <c r="P84"/>
      <c r="Q84"/>
      <c r="R84"/>
      <c r="S84"/>
      <c r="T84"/>
      <c r="U84"/>
      <c r="V84"/>
      <c r="W84"/>
      <c r="X84"/>
      <c r="Y84"/>
    </row>
    <row r="85" spans="1:25" ht="15" customHeight="1" x14ac:dyDescent="0.25">
      <c r="N85" s="31"/>
      <c r="O85"/>
      <c r="P85"/>
      <c r="Q85"/>
      <c r="R85"/>
      <c r="S85"/>
      <c r="T85"/>
      <c r="U85"/>
      <c r="V85"/>
      <c r="W85"/>
      <c r="X85"/>
      <c r="Y85"/>
    </row>
    <row r="86" spans="1:25" ht="15" customHeight="1" x14ac:dyDescent="0.25">
      <c r="N86" s="31"/>
      <c r="O86"/>
      <c r="P86"/>
      <c r="Q86"/>
      <c r="R86"/>
      <c r="S86"/>
      <c r="T86"/>
      <c r="U86"/>
      <c r="V86"/>
      <c r="W86"/>
      <c r="X86"/>
      <c r="Y86"/>
    </row>
    <row r="87" spans="1:25" ht="15" customHeight="1" x14ac:dyDescent="0.25">
      <c r="N87" s="31"/>
      <c r="O87"/>
      <c r="P87"/>
      <c r="Q87"/>
      <c r="R87"/>
      <c r="S87"/>
      <c r="T87"/>
      <c r="U87"/>
      <c r="V87"/>
      <c r="W87"/>
      <c r="X87"/>
      <c r="Y87"/>
    </row>
    <row r="88" spans="1:25" ht="15" customHeight="1" x14ac:dyDescent="0.25">
      <c r="N88" s="31"/>
      <c r="O88"/>
      <c r="P88"/>
      <c r="Q88"/>
      <c r="R88"/>
      <c r="S88"/>
      <c r="T88"/>
      <c r="U88"/>
      <c r="V88"/>
      <c r="W88"/>
      <c r="X88"/>
      <c r="Y88"/>
    </row>
    <row r="89" spans="1:25" ht="15" customHeight="1" x14ac:dyDescent="0.25">
      <c r="N89" s="31"/>
      <c r="O89"/>
      <c r="P89"/>
      <c r="Q89"/>
      <c r="R89"/>
      <c r="S89"/>
      <c r="T89"/>
      <c r="U89"/>
      <c r="V89"/>
      <c r="W89"/>
      <c r="X89"/>
      <c r="Y89"/>
    </row>
    <row r="90" spans="1:25" ht="15" customHeight="1" x14ac:dyDescent="0.25">
      <c r="N90" s="31"/>
      <c r="O90"/>
      <c r="P90"/>
      <c r="Q90"/>
      <c r="R90"/>
      <c r="S90"/>
      <c r="T90"/>
      <c r="U90"/>
      <c r="V90"/>
      <c r="W90"/>
      <c r="X90"/>
      <c r="Y90"/>
    </row>
    <row r="91" spans="1:25" ht="15" customHeight="1" x14ac:dyDescent="0.25">
      <c r="N91" s="31"/>
      <c r="O91"/>
      <c r="P91"/>
      <c r="Q91"/>
      <c r="R91"/>
      <c r="S91"/>
      <c r="T91"/>
      <c r="U91"/>
      <c r="V91"/>
      <c r="W91"/>
      <c r="X91"/>
      <c r="Y91"/>
    </row>
    <row r="92" spans="1:25" ht="15" customHeight="1" x14ac:dyDescent="0.25">
      <c r="N92" s="31"/>
      <c r="O92"/>
      <c r="P92"/>
      <c r="Q92"/>
      <c r="R92"/>
      <c r="S92"/>
      <c r="T92"/>
      <c r="U92"/>
      <c r="V92"/>
      <c r="W92"/>
      <c r="X92"/>
      <c r="Y92"/>
    </row>
    <row r="93" spans="1:25" ht="15" customHeight="1" x14ac:dyDescent="0.25">
      <c r="N93" s="31"/>
      <c r="O93"/>
      <c r="P93"/>
      <c r="Q93"/>
      <c r="R93"/>
      <c r="S93"/>
      <c r="T93"/>
      <c r="U93"/>
      <c r="V93"/>
      <c r="W93"/>
      <c r="X93"/>
      <c r="Y93"/>
    </row>
    <row r="94" spans="1:25" ht="15" customHeight="1" x14ac:dyDescent="0.25">
      <c r="N94" s="31"/>
      <c r="O94"/>
      <c r="P94"/>
      <c r="Q94"/>
      <c r="R94"/>
      <c r="S94"/>
      <c r="T94"/>
      <c r="U94"/>
      <c r="V94"/>
      <c r="W94"/>
      <c r="X94"/>
      <c r="Y94"/>
    </row>
    <row r="95" spans="1:25" ht="15" customHeight="1" x14ac:dyDescent="0.25">
      <c r="N95" s="31"/>
      <c r="O95"/>
      <c r="P95"/>
      <c r="Q95"/>
      <c r="R95"/>
      <c r="S95"/>
      <c r="T95"/>
      <c r="U95"/>
      <c r="V95"/>
      <c r="W95"/>
      <c r="X95"/>
      <c r="Y95"/>
    </row>
    <row r="96" spans="1:25" ht="15" customHeight="1" x14ac:dyDescent="0.25">
      <c r="N96" s="31"/>
      <c r="O96"/>
      <c r="P96"/>
      <c r="Q96"/>
      <c r="R96"/>
      <c r="S96"/>
      <c r="T96"/>
      <c r="U96"/>
      <c r="V96"/>
      <c r="W96"/>
      <c r="X96"/>
      <c r="Y96"/>
    </row>
    <row r="97" spans="2:25" ht="15" customHeight="1" x14ac:dyDescent="0.25"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/>
      <c r="P97"/>
      <c r="Q97"/>
      <c r="R97"/>
      <c r="S97"/>
      <c r="T97"/>
      <c r="U97"/>
      <c r="V97"/>
      <c r="W97"/>
      <c r="X97"/>
      <c r="Y97"/>
    </row>
    <row r="98" spans="2:25" ht="15" customHeight="1" x14ac:dyDescent="0.25"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/>
      <c r="P98"/>
      <c r="Q98"/>
      <c r="R98"/>
      <c r="S98"/>
      <c r="T98"/>
      <c r="U98"/>
      <c r="V98"/>
      <c r="W98"/>
      <c r="X98"/>
      <c r="Y98"/>
    </row>
    <row r="99" spans="2:25" ht="15" customHeight="1" x14ac:dyDescent="0.25"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/>
      <c r="P99"/>
      <c r="Q99"/>
      <c r="R99"/>
      <c r="S99"/>
      <c r="T99"/>
      <c r="U99"/>
      <c r="V99"/>
      <c r="W99"/>
      <c r="X99"/>
      <c r="Y99"/>
    </row>
    <row r="100" spans="2:25" ht="15" customHeight="1" x14ac:dyDescent="0.25"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/>
      <c r="P100"/>
      <c r="Q100"/>
      <c r="R100"/>
      <c r="S100"/>
      <c r="T100"/>
      <c r="U100"/>
      <c r="V100"/>
      <c r="W100"/>
      <c r="X100"/>
      <c r="Y100"/>
    </row>
    <row r="101" spans="2:25" ht="15" customHeight="1" x14ac:dyDescent="0.25"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/>
      <c r="P101"/>
      <c r="Q101"/>
      <c r="R101"/>
      <c r="S101"/>
      <c r="T101"/>
      <c r="U101"/>
      <c r="V101"/>
      <c r="W101"/>
      <c r="X101"/>
      <c r="Y101"/>
    </row>
    <row r="102" spans="2:25" ht="15" customHeight="1" x14ac:dyDescent="0.25"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/>
      <c r="P102"/>
      <c r="Q102"/>
      <c r="R102"/>
      <c r="S102"/>
      <c r="T102"/>
      <c r="U102"/>
      <c r="V102"/>
      <c r="W102"/>
      <c r="X102"/>
      <c r="Y102"/>
    </row>
    <row r="103" spans="2:25" ht="15" customHeight="1" x14ac:dyDescent="0.25"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/>
      <c r="P103"/>
      <c r="Q103"/>
      <c r="R103"/>
      <c r="S103"/>
      <c r="T103"/>
      <c r="U103"/>
      <c r="V103"/>
      <c r="W103"/>
      <c r="X103"/>
      <c r="Y103"/>
    </row>
    <row r="104" spans="2:25" ht="15" customHeight="1" x14ac:dyDescent="0.25"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/>
      <c r="P104"/>
      <c r="Q104"/>
      <c r="R104"/>
      <c r="S104"/>
      <c r="T104"/>
      <c r="U104"/>
      <c r="V104"/>
      <c r="W104"/>
      <c r="X104"/>
      <c r="Y104"/>
    </row>
    <row r="105" spans="2:25" ht="15" customHeight="1" x14ac:dyDescent="0.25"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/>
      <c r="P105"/>
      <c r="Q105"/>
      <c r="R105"/>
      <c r="S105"/>
      <c r="T105"/>
      <c r="U105"/>
      <c r="V105"/>
      <c r="W105"/>
      <c r="X105"/>
      <c r="Y105"/>
    </row>
    <row r="106" spans="2:25" ht="15" customHeight="1" x14ac:dyDescent="0.25"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/>
      <c r="P106"/>
      <c r="Q106"/>
      <c r="R106"/>
      <c r="S106"/>
      <c r="T106"/>
      <c r="U106"/>
      <c r="V106"/>
      <c r="W106"/>
      <c r="X106"/>
      <c r="Y106"/>
    </row>
    <row r="107" spans="2:25" ht="15" customHeight="1" x14ac:dyDescent="0.25"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/>
      <c r="P107"/>
      <c r="Q107"/>
      <c r="R107"/>
      <c r="S107"/>
      <c r="T107"/>
      <c r="U107"/>
      <c r="V107"/>
      <c r="W107"/>
      <c r="X107"/>
      <c r="Y107"/>
    </row>
    <row r="108" spans="2:25" ht="15" customHeight="1" x14ac:dyDescent="0.25"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/>
      <c r="P108"/>
      <c r="Q108"/>
      <c r="R108"/>
      <c r="S108"/>
      <c r="T108"/>
      <c r="U108"/>
      <c r="V108"/>
      <c r="W108"/>
      <c r="X108"/>
      <c r="Y108"/>
    </row>
    <row r="109" spans="2:25" ht="15" customHeight="1" x14ac:dyDescent="0.25"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/>
      <c r="P109"/>
      <c r="Q109"/>
      <c r="R109"/>
      <c r="S109"/>
      <c r="T109"/>
      <c r="U109"/>
      <c r="V109"/>
      <c r="W109"/>
      <c r="X109"/>
      <c r="Y109"/>
    </row>
    <row r="110" spans="2:25" ht="15" customHeight="1" x14ac:dyDescent="0.25"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/>
      <c r="P110"/>
      <c r="Q110"/>
      <c r="R110"/>
      <c r="S110"/>
      <c r="T110"/>
      <c r="U110"/>
      <c r="V110"/>
      <c r="W110"/>
      <c r="X110"/>
      <c r="Y110"/>
    </row>
    <row r="111" spans="2:25" ht="15" customHeight="1" x14ac:dyDescent="0.25"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/>
      <c r="P111"/>
      <c r="Q111"/>
      <c r="R111"/>
      <c r="S111"/>
      <c r="T111"/>
      <c r="U111"/>
      <c r="V111"/>
      <c r="W111"/>
      <c r="X111"/>
      <c r="Y111"/>
    </row>
    <row r="112" spans="2:25" ht="15" customHeight="1" x14ac:dyDescent="0.25"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/>
      <c r="P112"/>
      <c r="Q112"/>
      <c r="R112"/>
      <c r="S112"/>
      <c r="T112"/>
      <c r="U112"/>
      <c r="V112"/>
      <c r="W112"/>
      <c r="X112"/>
      <c r="Y112"/>
    </row>
    <row r="113" spans="2:25" ht="15" customHeight="1" x14ac:dyDescent="0.25"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/>
      <c r="P113"/>
      <c r="Q113"/>
      <c r="R113"/>
      <c r="S113"/>
      <c r="T113"/>
      <c r="U113"/>
      <c r="V113"/>
      <c r="W113"/>
      <c r="X113"/>
      <c r="Y113"/>
    </row>
    <row r="114" spans="2:25" ht="15" customHeight="1" x14ac:dyDescent="0.25"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/>
      <c r="P114"/>
      <c r="Q114"/>
      <c r="R114"/>
      <c r="S114"/>
      <c r="T114"/>
      <c r="U114"/>
      <c r="V114"/>
      <c r="W114"/>
      <c r="X114"/>
      <c r="Y114"/>
    </row>
    <row r="115" spans="2:25" ht="15" customHeight="1" x14ac:dyDescent="0.25"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/>
      <c r="P115"/>
      <c r="Q115"/>
      <c r="R115"/>
      <c r="S115"/>
      <c r="T115"/>
      <c r="U115"/>
      <c r="V115"/>
      <c r="W115"/>
      <c r="X115"/>
      <c r="Y115"/>
    </row>
    <row r="116" spans="2:25" ht="15" customHeight="1" x14ac:dyDescent="0.25"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/>
      <c r="P116"/>
      <c r="Q116"/>
      <c r="R116"/>
      <c r="S116"/>
      <c r="T116"/>
      <c r="U116"/>
      <c r="V116"/>
      <c r="W116"/>
      <c r="X116"/>
      <c r="Y116"/>
    </row>
    <row r="117" spans="2:25" ht="15" customHeight="1" x14ac:dyDescent="0.25"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/>
      <c r="P117"/>
      <c r="Q117"/>
      <c r="R117"/>
      <c r="S117"/>
      <c r="T117"/>
      <c r="U117"/>
      <c r="V117"/>
      <c r="W117"/>
      <c r="X117"/>
      <c r="Y117"/>
    </row>
    <row r="118" spans="2:25" ht="15" customHeight="1" x14ac:dyDescent="0.25"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/>
      <c r="P118"/>
      <c r="Q118"/>
      <c r="R118"/>
      <c r="S118"/>
      <c r="T118"/>
      <c r="U118"/>
      <c r="V118"/>
      <c r="W118"/>
      <c r="X118"/>
      <c r="Y118"/>
    </row>
    <row r="119" spans="2:25" ht="15" customHeight="1" x14ac:dyDescent="0.25"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/>
      <c r="P119"/>
      <c r="Q119"/>
      <c r="R119"/>
      <c r="S119"/>
      <c r="T119"/>
      <c r="U119"/>
      <c r="V119"/>
      <c r="W119"/>
      <c r="X119"/>
      <c r="Y119"/>
    </row>
    <row r="120" spans="2:25" ht="15" customHeight="1" x14ac:dyDescent="0.25"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/>
      <c r="P120"/>
      <c r="Q120"/>
      <c r="R120"/>
      <c r="S120"/>
      <c r="T120"/>
      <c r="U120"/>
      <c r="V120"/>
      <c r="W120"/>
      <c r="X120"/>
      <c r="Y120"/>
    </row>
    <row r="121" spans="2:25" ht="15" customHeight="1" x14ac:dyDescent="0.25"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/>
      <c r="P121"/>
      <c r="Q121"/>
      <c r="R121"/>
      <c r="S121"/>
      <c r="T121"/>
      <c r="U121"/>
      <c r="V121"/>
      <c r="W121"/>
      <c r="X121"/>
      <c r="Y121"/>
    </row>
    <row r="122" spans="2:25" ht="15" customHeight="1" x14ac:dyDescent="0.25"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/>
      <c r="P122"/>
      <c r="Q122"/>
      <c r="R122"/>
      <c r="S122"/>
      <c r="T122"/>
      <c r="U122"/>
      <c r="V122"/>
      <c r="W122"/>
      <c r="X122"/>
      <c r="Y122"/>
    </row>
    <row r="123" spans="2:25" ht="15" customHeight="1" x14ac:dyDescent="0.25"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/>
      <c r="P123"/>
      <c r="Q123"/>
      <c r="R123"/>
      <c r="S123"/>
      <c r="T123"/>
      <c r="U123"/>
      <c r="V123"/>
      <c r="W123"/>
      <c r="X123"/>
      <c r="Y123"/>
    </row>
    <row r="124" spans="2:25" ht="15" customHeight="1" x14ac:dyDescent="0.25"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/>
      <c r="P124"/>
      <c r="Q124"/>
      <c r="R124"/>
      <c r="S124"/>
      <c r="T124"/>
      <c r="U124"/>
      <c r="V124"/>
      <c r="W124"/>
      <c r="X124"/>
      <c r="Y124"/>
    </row>
    <row r="125" spans="2:25" ht="15" customHeight="1" x14ac:dyDescent="0.25"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/>
      <c r="P125"/>
      <c r="Q125"/>
      <c r="R125"/>
      <c r="S125"/>
      <c r="T125"/>
      <c r="U125"/>
      <c r="V125"/>
      <c r="W125"/>
      <c r="X125"/>
      <c r="Y125"/>
    </row>
    <row r="126" spans="2:25" ht="15" customHeight="1" x14ac:dyDescent="0.25"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/>
      <c r="P126"/>
      <c r="Q126"/>
      <c r="R126"/>
      <c r="S126"/>
      <c r="T126"/>
      <c r="U126"/>
      <c r="V126"/>
      <c r="W126"/>
      <c r="X126"/>
      <c r="Y126"/>
    </row>
    <row r="127" spans="2:25" ht="15" customHeight="1" x14ac:dyDescent="0.25"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/>
      <c r="P127"/>
      <c r="Q127"/>
      <c r="R127"/>
      <c r="S127"/>
      <c r="T127"/>
      <c r="U127"/>
      <c r="V127"/>
      <c r="W127"/>
      <c r="X127"/>
      <c r="Y127"/>
    </row>
    <row r="128" spans="2:25" ht="15" customHeight="1" x14ac:dyDescent="0.25"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/>
      <c r="P128"/>
      <c r="Q128"/>
      <c r="R128"/>
      <c r="S128"/>
      <c r="T128"/>
      <c r="U128"/>
      <c r="V128"/>
      <c r="W128"/>
      <c r="X128"/>
      <c r="Y128"/>
    </row>
    <row r="129" spans="2:25" ht="15" customHeight="1" x14ac:dyDescent="0.25"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/>
      <c r="P129"/>
      <c r="Q129"/>
      <c r="R129"/>
      <c r="S129"/>
      <c r="T129"/>
      <c r="U129"/>
      <c r="V129"/>
      <c r="W129"/>
      <c r="X129"/>
      <c r="Y129"/>
    </row>
    <row r="130" spans="2:25" ht="15" customHeight="1" x14ac:dyDescent="0.25"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/>
      <c r="P130"/>
      <c r="Q130"/>
      <c r="R130"/>
      <c r="S130"/>
      <c r="T130"/>
      <c r="U130"/>
      <c r="V130"/>
      <c r="W130"/>
      <c r="X130"/>
      <c r="Y130"/>
    </row>
    <row r="131" spans="2:25" ht="15" customHeight="1" x14ac:dyDescent="0.25"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/>
      <c r="P131"/>
      <c r="Q131"/>
      <c r="R131"/>
      <c r="S131"/>
      <c r="T131"/>
      <c r="U131"/>
      <c r="V131"/>
      <c r="W131"/>
      <c r="X131"/>
      <c r="Y131"/>
    </row>
    <row r="132" spans="2:25" ht="15" customHeight="1" x14ac:dyDescent="0.25"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/>
      <c r="P132"/>
      <c r="Q132"/>
      <c r="R132"/>
      <c r="S132"/>
      <c r="T132"/>
      <c r="U132"/>
      <c r="V132"/>
      <c r="W132"/>
      <c r="X132"/>
      <c r="Y132"/>
    </row>
    <row r="133" spans="2:25" ht="15" customHeight="1" x14ac:dyDescent="0.25"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/>
      <c r="P133"/>
      <c r="Q133"/>
      <c r="R133"/>
      <c r="S133"/>
      <c r="T133"/>
      <c r="U133"/>
      <c r="V133"/>
      <c r="W133"/>
      <c r="X133"/>
      <c r="Y133"/>
    </row>
    <row r="134" spans="2:25" ht="15" customHeight="1" x14ac:dyDescent="0.25"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/>
      <c r="P134"/>
      <c r="Q134"/>
      <c r="R134"/>
      <c r="S134"/>
      <c r="T134"/>
      <c r="U134"/>
      <c r="V134"/>
      <c r="W134"/>
      <c r="X134"/>
      <c r="Y134"/>
    </row>
    <row r="135" spans="2:25" ht="15" customHeight="1" x14ac:dyDescent="0.25"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/>
      <c r="P135"/>
      <c r="Q135"/>
      <c r="R135"/>
      <c r="S135"/>
      <c r="T135"/>
      <c r="U135"/>
      <c r="V135"/>
      <c r="W135"/>
      <c r="X135"/>
      <c r="Y135"/>
    </row>
    <row r="136" spans="2:25" ht="15" customHeight="1" x14ac:dyDescent="0.25"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/>
      <c r="P136"/>
      <c r="Q136"/>
      <c r="R136"/>
      <c r="S136"/>
      <c r="T136"/>
      <c r="U136"/>
      <c r="V136"/>
      <c r="W136"/>
      <c r="X136"/>
      <c r="Y136"/>
    </row>
    <row r="137" spans="2:25" ht="15" customHeight="1" x14ac:dyDescent="0.25"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/>
      <c r="P137"/>
      <c r="Q137"/>
      <c r="R137"/>
      <c r="S137"/>
      <c r="T137"/>
      <c r="U137"/>
      <c r="V137"/>
      <c r="W137"/>
      <c r="X137"/>
      <c r="Y137"/>
    </row>
    <row r="138" spans="2:25" ht="15" customHeight="1" x14ac:dyDescent="0.25"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/>
      <c r="P138"/>
      <c r="Q138"/>
      <c r="R138"/>
      <c r="S138"/>
      <c r="T138"/>
      <c r="U138"/>
      <c r="V138"/>
      <c r="W138"/>
      <c r="X138"/>
      <c r="Y138"/>
    </row>
    <row r="139" spans="2:25" ht="15" customHeight="1" x14ac:dyDescent="0.25"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/>
      <c r="P139"/>
      <c r="Q139"/>
      <c r="R139"/>
      <c r="S139"/>
      <c r="T139"/>
      <c r="U139"/>
      <c r="V139"/>
      <c r="W139"/>
      <c r="X139"/>
      <c r="Y139"/>
    </row>
    <row r="140" spans="2:25" ht="15" customHeight="1" x14ac:dyDescent="0.25"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/>
      <c r="P140"/>
      <c r="Q140"/>
      <c r="R140"/>
      <c r="S140"/>
      <c r="T140"/>
      <c r="U140"/>
      <c r="V140"/>
      <c r="W140"/>
      <c r="X140"/>
      <c r="Y140"/>
    </row>
    <row r="141" spans="2:25" ht="15" customHeight="1" x14ac:dyDescent="0.25"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/>
      <c r="P141"/>
      <c r="Q141"/>
      <c r="R141"/>
      <c r="S141"/>
      <c r="T141"/>
      <c r="U141"/>
      <c r="V141"/>
      <c r="W141"/>
      <c r="X141"/>
      <c r="Y141"/>
    </row>
    <row r="142" spans="2:25" ht="15" customHeight="1" x14ac:dyDescent="0.25"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/>
      <c r="P142"/>
      <c r="Q142"/>
      <c r="R142"/>
      <c r="S142"/>
      <c r="T142"/>
      <c r="U142"/>
      <c r="V142"/>
      <c r="W142"/>
      <c r="X142"/>
      <c r="Y142"/>
    </row>
    <row r="143" spans="2:25" ht="15" customHeight="1" x14ac:dyDescent="0.25"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/>
      <c r="P143"/>
      <c r="Q143"/>
      <c r="R143"/>
      <c r="S143"/>
      <c r="T143"/>
      <c r="U143"/>
      <c r="V143"/>
      <c r="W143"/>
      <c r="X143"/>
      <c r="Y143"/>
    </row>
    <row r="144" spans="2:25" ht="15" customHeight="1" x14ac:dyDescent="0.25"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/>
      <c r="P144"/>
      <c r="Q144"/>
      <c r="R144"/>
      <c r="S144"/>
      <c r="T144"/>
      <c r="U144"/>
      <c r="V144"/>
      <c r="W144"/>
      <c r="X144"/>
      <c r="Y144"/>
    </row>
    <row r="145" spans="2:25" ht="15" customHeight="1" x14ac:dyDescent="0.25"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/>
      <c r="P145"/>
      <c r="Q145"/>
      <c r="R145"/>
      <c r="S145"/>
      <c r="T145"/>
      <c r="U145"/>
      <c r="V145"/>
      <c r="W145"/>
      <c r="X145"/>
      <c r="Y145"/>
    </row>
    <row r="146" spans="2:25" ht="15" customHeight="1" x14ac:dyDescent="0.2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/>
      <c r="P146"/>
      <c r="Q146"/>
      <c r="R146"/>
      <c r="S146"/>
      <c r="T146"/>
      <c r="U146"/>
      <c r="V146"/>
      <c r="W146"/>
      <c r="X146"/>
      <c r="Y146"/>
    </row>
    <row r="147" spans="2:25" ht="15" customHeight="1" x14ac:dyDescent="0.2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/>
      <c r="P147"/>
      <c r="Q147"/>
      <c r="R147"/>
      <c r="S147"/>
      <c r="T147"/>
      <c r="U147"/>
      <c r="V147"/>
      <c r="W147"/>
      <c r="X147"/>
      <c r="Y147"/>
    </row>
    <row r="148" spans="2:25" ht="15" customHeight="1" x14ac:dyDescent="0.2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/>
      <c r="P148"/>
      <c r="Q148"/>
      <c r="R148"/>
      <c r="S148"/>
      <c r="T148"/>
      <c r="U148"/>
      <c r="V148"/>
      <c r="W148"/>
      <c r="X148"/>
      <c r="Y148"/>
    </row>
    <row r="149" spans="2:25" ht="15" customHeight="1" x14ac:dyDescent="0.2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/>
      <c r="P149"/>
      <c r="Q149"/>
      <c r="R149"/>
      <c r="S149"/>
      <c r="T149"/>
      <c r="U149"/>
      <c r="V149"/>
      <c r="W149"/>
      <c r="X149"/>
      <c r="Y149"/>
    </row>
    <row r="150" spans="2:25" ht="15" customHeight="1" x14ac:dyDescent="0.2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/>
      <c r="P150"/>
      <c r="Q150"/>
      <c r="R150"/>
      <c r="S150"/>
      <c r="T150"/>
      <c r="U150"/>
      <c r="V150"/>
      <c r="W150"/>
      <c r="X150"/>
      <c r="Y150"/>
    </row>
    <row r="151" spans="2:25" ht="15" customHeight="1" x14ac:dyDescent="0.25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/>
      <c r="P151"/>
      <c r="Q151"/>
      <c r="R151"/>
      <c r="S151"/>
      <c r="T151"/>
      <c r="U151"/>
      <c r="V151"/>
      <c r="W151"/>
      <c r="X151"/>
      <c r="Y151"/>
    </row>
    <row r="152" spans="2:25" ht="15" customHeight="1" x14ac:dyDescent="0.25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/>
      <c r="P152"/>
      <c r="Q152"/>
      <c r="R152"/>
      <c r="S152"/>
      <c r="T152"/>
      <c r="U152"/>
      <c r="V152"/>
      <c r="W152"/>
      <c r="X152"/>
      <c r="Y152"/>
    </row>
  </sheetData>
  <mergeCells count="1">
    <mergeCell ref="L1:M1"/>
  </mergeCells>
  <conditionalFormatting sqref="B1">
    <cfRule type="cellIs" dxfId="50" priority="1" operator="equal">
      <formula>"Incomplete"</formula>
    </cfRule>
    <cfRule type="cellIs" dxfId="49" priority="2" operator="equal">
      <formula>"Flag for Review"</formula>
    </cfRule>
    <cfRule type="cellIs" dxfId="48" priority="3" operator="equal">
      <formula>"Finished"</formula>
    </cfRule>
  </conditionalFormatting>
  <dataValidations count="1">
    <dataValidation type="list" allowBlank="1" showInputMessage="1" showErrorMessage="1" sqref="B1">
      <formula1>"Finished, Flag for Review, Incomplete"</formula1>
    </dataValidation>
  </dataValidations>
  <hyperlinks>
    <hyperlink ref="L1" location="'Point Grid'!A8" display="Return to Point Grid"/>
    <hyperlink ref="L1:M1" location="'Point Grid'!A1" display="Return to Point Grid"/>
  </hyperlinks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U101"/>
  <sheetViews>
    <sheetView zoomScaleNormal="100" workbookViewId="0"/>
  </sheetViews>
  <sheetFormatPr defaultColWidth="9.140625" defaultRowHeight="15" x14ac:dyDescent="0.25"/>
  <cols>
    <col min="1" max="1" width="9.140625" style="21"/>
    <col min="2" max="2" width="16" style="21" bestFit="1" customWidth="1"/>
    <col min="3" max="9" width="11.140625" style="21" customWidth="1"/>
    <col min="10" max="16384" width="9.140625" style="21"/>
  </cols>
  <sheetData>
    <row r="1" spans="1:21" x14ac:dyDescent="0.25">
      <c r="A1" s="7">
        <v>15</v>
      </c>
      <c r="B1" s="27" t="s">
        <v>12</v>
      </c>
      <c r="C1" s="20"/>
      <c r="D1" s="20"/>
      <c r="E1" s="20"/>
      <c r="F1" s="20"/>
      <c r="G1" s="20"/>
      <c r="H1" s="384" t="s">
        <v>24</v>
      </c>
      <c r="I1" s="385"/>
      <c r="K1"/>
      <c r="L1"/>
      <c r="M1"/>
      <c r="N1"/>
      <c r="O1"/>
      <c r="P1"/>
      <c r="Q1"/>
      <c r="R1"/>
      <c r="S1"/>
      <c r="T1"/>
      <c r="U1"/>
    </row>
    <row r="2" spans="1:21" x14ac:dyDescent="0.25">
      <c r="A2" s="22"/>
      <c r="B2" s="19"/>
      <c r="C2" s="19"/>
      <c r="D2" s="19"/>
      <c r="E2" s="19"/>
      <c r="F2" s="19"/>
      <c r="G2" s="19"/>
      <c r="H2" s="19"/>
      <c r="I2" s="23"/>
      <c r="K2"/>
      <c r="L2"/>
      <c r="M2"/>
      <c r="N2"/>
      <c r="O2"/>
      <c r="P2"/>
      <c r="Q2"/>
      <c r="R2"/>
      <c r="S2"/>
      <c r="T2"/>
      <c r="U2"/>
    </row>
    <row r="3" spans="1:21" x14ac:dyDescent="0.25">
      <c r="A3" s="8" t="s">
        <v>13</v>
      </c>
      <c r="B3" s="17"/>
      <c r="C3" s="17"/>
      <c r="D3" s="17"/>
      <c r="E3" s="17"/>
      <c r="F3" s="17"/>
      <c r="G3" s="17"/>
      <c r="H3" s="17"/>
      <c r="I3" s="18"/>
      <c r="J3" s="31"/>
      <c r="K3"/>
      <c r="L3"/>
      <c r="M3"/>
      <c r="N3"/>
      <c r="O3"/>
      <c r="P3"/>
      <c r="Q3"/>
      <c r="R3"/>
      <c r="S3"/>
      <c r="T3"/>
      <c r="U3"/>
    </row>
    <row r="4" spans="1:21" x14ac:dyDescent="0.25">
      <c r="A4" s="9">
        <f>INDEX('Point Grid'!B:B,MATCH(A1,'Point Grid'!A:A,0))</f>
        <v>1.25</v>
      </c>
      <c r="B4" s="17"/>
      <c r="C4" s="17"/>
      <c r="D4" s="17"/>
      <c r="E4" s="17"/>
      <c r="F4" s="17"/>
      <c r="G4" s="17"/>
      <c r="H4" s="17"/>
      <c r="I4" s="18"/>
      <c r="J4" s="31"/>
      <c r="K4"/>
      <c r="L4"/>
      <c r="M4"/>
      <c r="N4"/>
      <c r="O4"/>
      <c r="P4"/>
      <c r="Q4"/>
      <c r="R4"/>
      <c r="S4"/>
      <c r="T4"/>
      <c r="U4"/>
    </row>
    <row r="5" spans="1:21" x14ac:dyDescent="0.25">
      <c r="A5" s="16"/>
      <c r="B5" s="17"/>
      <c r="C5" s="17"/>
      <c r="D5" s="17"/>
      <c r="E5" s="17"/>
      <c r="F5" s="17"/>
      <c r="G5" s="17"/>
      <c r="H5" s="17"/>
      <c r="I5" s="18"/>
      <c r="J5" s="31"/>
      <c r="K5"/>
      <c r="L5"/>
      <c r="M5"/>
      <c r="N5"/>
      <c r="O5"/>
      <c r="P5"/>
      <c r="Q5"/>
      <c r="R5"/>
      <c r="S5"/>
      <c r="T5"/>
      <c r="U5"/>
    </row>
    <row r="6" spans="1:21" x14ac:dyDescent="0.25">
      <c r="A6" s="25" t="s">
        <v>2</v>
      </c>
      <c r="B6" s="96" t="s">
        <v>199</v>
      </c>
      <c r="C6" s="96"/>
      <c r="D6" s="96"/>
      <c r="E6" s="96"/>
      <c r="F6" s="162">
        <v>50</v>
      </c>
      <c r="G6" s="17"/>
      <c r="H6" s="17"/>
      <c r="I6" s="18"/>
      <c r="J6" s="31"/>
      <c r="K6"/>
      <c r="L6"/>
      <c r="M6"/>
      <c r="N6"/>
      <c r="O6"/>
      <c r="P6"/>
      <c r="Q6"/>
      <c r="R6"/>
      <c r="S6"/>
      <c r="T6"/>
      <c r="U6"/>
    </row>
    <row r="7" spans="1:21" ht="15.75" thickBot="1" x14ac:dyDescent="0.3">
      <c r="A7" s="9">
        <f>INDEX('Point Grid'!$C$8:$I$54,MATCH($A$1,'Point Grid'!$A$8:$A$54,0),MATCH(A6,'Point Grid'!$C$7:$I$7,0))</f>
        <v>1.25</v>
      </c>
      <c r="B7" s="96"/>
      <c r="C7" s="96"/>
      <c r="D7" s="96"/>
      <c r="E7" s="96"/>
      <c r="F7" s="96"/>
      <c r="G7" s="17"/>
      <c r="H7" s="17"/>
      <c r="I7" s="18"/>
      <c r="J7" s="31"/>
      <c r="K7"/>
      <c r="L7"/>
      <c r="M7"/>
      <c r="N7"/>
      <c r="O7"/>
      <c r="P7"/>
      <c r="Q7"/>
      <c r="R7"/>
      <c r="S7"/>
      <c r="T7"/>
      <c r="U7"/>
    </row>
    <row r="8" spans="1:21" ht="15.75" thickBot="1" x14ac:dyDescent="0.3">
      <c r="A8" s="5"/>
      <c r="B8" s="96"/>
      <c r="C8" s="96"/>
      <c r="D8" s="96"/>
      <c r="E8" s="96"/>
      <c r="F8" s="96"/>
      <c r="G8" s="28"/>
      <c r="H8" s="28"/>
      <c r="I8" s="18"/>
      <c r="J8" s="31"/>
      <c r="K8"/>
      <c r="L8"/>
      <c r="M8"/>
      <c r="N8"/>
      <c r="O8"/>
      <c r="P8"/>
      <c r="Q8"/>
      <c r="R8"/>
      <c r="S8"/>
      <c r="T8"/>
      <c r="U8"/>
    </row>
    <row r="9" spans="1:21" x14ac:dyDescent="0.25">
      <c r="A9" s="25"/>
      <c r="B9" s="96" t="s">
        <v>194</v>
      </c>
      <c r="C9" s="96"/>
      <c r="D9" s="162">
        <v>10</v>
      </c>
      <c r="E9" s="96"/>
      <c r="F9" s="96"/>
      <c r="G9" s="17"/>
      <c r="H9" s="17"/>
      <c r="I9" s="18"/>
      <c r="J9" s="31"/>
      <c r="K9"/>
      <c r="L9"/>
      <c r="M9"/>
      <c r="N9"/>
      <c r="O9"/>
      <c r="P9"/>
      <c r="Q9"/>
      <c r="R9"/>
      <c r="S9"/>
      <c r="T9"/>
      <c r="U9"/>
    </row>
    <row r="10" spans="1:21" x14ac:dyDescent="0.25">
      <c r="A10" s="25"/>
      <c r="B10" s="115"/>
      <c r="C10" s="115"/>
      <c r="D10" s="115"/>
      <c r="E10" s="115"/>
      <c r="F10" s="96"/>
      <c r="G10" s="17"/>
      <c r="H10" s="17"/>
      <c r="I10" s="18"/>
      <c r="J10" s="31"/>
      <c r="K10"/>
      <c r="L10"/>
      <c r="M10"/>
      <c r="N10"/>
      <c r="O10"/>
      <c r="P10"/>
      <c r="Q10"/>
      <c r="R10"/>
      <c r="S10"/>
      <c r="T10"/>
      <c r="U10"/>
    </row>
    <row r="11" spans="1:21" x14ac:dyDescent="0.25">
      <c r="A11" s="25"/>
      <c r="B11" s="188" t="s">
        <v>195</v>
      </c>
      <c r="C11" s="189"/>
      <c r="D11" s="93"/>
      <c r="E11" s="94"/>
      <c r="F11" s="96"/>
      <c r="G11" s="17"/>
      <c r="H11" s="17"/>
      <c r="I11" s="18"/>
      <c r="J11" s="31"/>
      <c r="K11"/>
      <c r="L11"/>
      <c r="M11"/>
      <c r="N11"/>
      <c r="O11"/>
      <c r="P11"/>
      <c r="Q11"/>
      <c r="R11"/>
      <c r="S11"/>
      <c r="T11"/>
      <c r="U11"/>
    </row>
    <row r="12" spans="1:21" x14ac:dyDescent="0.25">
      <c r="A12" s="25"/>
      <c r="B12" s="142" t="s">
        <v>196</v>
      </c>
      <c r="C12" s="159" t="s">
        <v>197</v>
      </c>
      <c r="D12" s="158" t="s">
        <v>74</v>
      </c>
      <c r="E12" s="159" t="s">
        <v>74</v>
      </c>
      <c r="F12" s="96"/>
      <c r="G12" s="17"/>
      <c r="H12" s="17"/>
      <c r="I12" s="18"/>
      <c r="J12" s="31"/>
      <c r="K12"/>
      <c r="L12"/>
      <c r="M12"/>
      <c r="N12"/>
      <c r="O12"/>
      <c r="P12"/>
      <c r="Q12"/>
      <c r="R12"/>
      <c r="S12"/>
      <c r="T12"/>
      <c r="U12"/>
    </row>
    <row r="13" spans="1:21" x14ac:dyDescent="0.25">
      <c r="A13" s="25"/>
      <c r="B13" s="144" t="s">
        <v>198</v>
      </c>
      <c r="C13" s="161" t="s">
        <v>198</v>
      </c>
      <c r="D13" s="160" t="s">
        <v>41</v>
      </c>
      <c r="E13" s="161" t="s">
        <v>88</v>
      </c>
      <c r="F13" s="96"/>
      <c r="G13" s="17"/>
      <c r="H13" s="17"/>
      <c r="I13" s="18"/>
      <c r="J13" s="31"/>
      <c r="K13"/>
      <c r="L13"/>
      <c r="M13"/>
      <c r="N13"/>
      <c r="O13"/>
      <c r="P13"/>
      <c r="Q13"/>
      <c r="R13"/>
      <c r="S13"/>
      <c r="T13"/>
      <c r="U13"/>
    </row>
    <row r="14" spans="1:21" x14ac:dyDescent="0.25">
      <c r="A14" s="25"/>
      <c r="B14" s="142">
        <v>0</v>
      </c>
      <c r="C14" s="159">
        <v>10</v>
      </c>
      <c r="D14" s="158">
        <v>140</v>
      </c>
      <c r="E14" s="159">
        <v>810</v>
      </c>
      <c r="F14" s="96"/>
      <c r="G14" s="17"/>
      <c r="H14" s="17"/>
      <c r="I14" s="18"/>
      <c r="J14" s="31"/>
      <c r="K14"/>
      <c r="L14"/>
      <c r="M14"/>
      <c r="N14"/>
      <c r="O14"/>
      <c r="P14"/>
      <c r="Q14"/>
      <c r="R14"/>
      <c r="S14"/>
      <c r="T14"/>
      <c r="U14"/>
    </row>
    <row r="15" spans="1:21" x14ac:dyDescent="0.25">
      <c r="A15" s="25"/>
      <c r="B15" s="142">
        <v>10</v>
      </c>
      <c r="C15" s="159">
        <v>25</v>
      </c>
      <c r="D15" s="158">
        <v>70</v>
      </c>
      <c r="E15" s="159">
        <v>730</v>
      </c>
      <c r="F15" s="96"/>
      <c r="G15" s="17"/>
      <c r="H15" s="17"/>
      <c r="I15" s="18"/>
      <c r="J15" s="31"/>
      <c r="K15"/>
      <c r="L15"/>
      <c r="M15"/>
      <c r="N15"/>
      <c r="O15"/>
      <c r="P15"/>
      <c r="Q15"/>
      <c r="R15"/>
      <c r="S15"/>
      <c r="T15"/>
      <c r="U15"/>
    </row>
    <row r="16" spans="1:21" x14ac:dyDescent="0.25">
      <c r="A16" s="25"/>
      <c r="B16" s="142">
        <v>25</v>
      </c>
      <c r="C16" s="159">
        <v>50</v>
      </c>
      <c r="D16" s="158">
        <v>55</v>
      </c>
      <c r="E16" s="159">
        <v>2680</v>
      </c>
      <c r="F16" s="96"/>
      <c r="G16" s="17"/>
      <c r="H16" s="17"/>
      <c r="I16" s="18"/>
      <c r="J16" s="31"/>
      <c r="K16"/>
      <c r="L16"/>
      <c r="M16"/>
      <c r="N16"/>
      <c r="O16"/>
      <c r="P16"/>
      <c r="Q16"/>
      <c r="R16"/>
      <c r="S16"/>
      <c r="T16"/>
      <c r="U16"/>
    </row>
    <row r="17" spans="1:21" x14ac:dyDescent="0.25">
      <c r="A17" s="25"/>
      <c r="B17" s="142">
        <v>50</v>
      </c>
      <c r="C17" s="159">
        <v>100</v>
      </c>
      <c r="D17" s="158">
        <v>30</v>
      </c>
      <c r="E17" s="159">
        <v>2840</v>
      </c>
      <c r="F17" s="96"/>
      <c r="G17" s="17"/>
      <c r="H17" s="17"/>
      <c r="I17" s="18"/>
      <c r="J17" s="31"/>
      <c r="K17"/>
      <c r="L17"/>
      <c r="M17"/>
      <c r="N17"/>
      <c r="O17"/>
      <c r="P17"/>
      <c r="Q17"/>
      <c r="R17"/>
      <c r="S17"/>
      <c r="T17"/>
      <c r="U17"/>
    </row>
    <row r="18" spans="1:21" ht="15" customHeight="1" x14ac:dyDescent="0.25">
      <c r="A18" s="25"/>
      <c r="B18" s="144">
        <v>100</v>
      </c>
      <c r="C18" s="161">
        <v>300</v>
      </c>
      <c r="D18" s="160">
        <v>14</v>
      </c>
      <c r="E18" s="161">
        <v>2610</v>
      </c>
      <c r="F18" s="96"/>
      <c r="G18" s="17"/>
      <c r="H18" s="17"/>
      <c r="I18" s="18"/>
      <c r="J18" s="31"/>
      <c r="K18"/>
      <c r="L18"/>
      <c r="M18"/>
      <c r="N18"/>
      <c r="O18"/>
      <c r="P18"/>
      <c r="Q18"/>
      <c r="R18"/>
      <c r="S18"/>
      <c r="T18"/>
      <c r="U18"/>
    </row>
    <row r="19" spans="1:21" ht="15" customHeight="1" x14ac:dyDescent="0.25">
      <c r="A19" s="25"/>
      <c r="B19" s="17"/>
      <c r="C19" s="17"/>
      <c r="D19" s="17"/>
      <c r="E19" s="17"/>
      <c r="F19" s="17"/>
      <c r="G19" s="17"/>
      <c r="H19" s="17"/>
      <c r="I19" s="18"/>
      <c r="J19" s="31"/>
      <c r="K19"/>
      <c r="L19"/>
      <c r="M19"/>
      <c r="N19"/>
      <c r="O19"/>
      <c r="P19"/>
      <c r="Q19"/>
      <c r="R19"/>
      <c r="S19"/>
      <c r="T19"/>
      <c r="U19"/>
    </row>
    <row r="20" spans="1:21" ht="15" customHeight="1" x14ac:dyDescent="0.25">
      <c r="A20" s="25"/>
      <c r="B20" s="17"/>
      <c r="C20" s="17"/>
      <c r="D20" s="17"/>
      <c r="E20" s="17"/>
      <c r="F20" s="17"/>
      <c r="G20" s="17"/>
      <c r="H20" s="17"/>
      <c r="I20" s="18"/>
      <c r="J20" s="31"/>
      <c r="K20"/>
      <c r="L20"/>
      <c r="M20"/>
      <c r="N20"/>
      <c r="O20"/>
      <c r="P20"/>
      <c r="Q20"/>
      <c r="R20"/>
      <c r="S20"/>
      <c r="T20"/>
      <c r="U20"/>
    </row>
    <row r="21" spans="1:21" ht="15" customHeight="1" x14ac:dyDescent="0.25">
      <c r="A21" s="25"/>
      <c r="B21" s="17"/>
      <c r="C21" s="17"/>
      <c r="D21" s="17"/>
      <c r="E21" s="17"/>
      <c r="F21" s="17"/>
      <c r="G21" s="17"/>
      <c r="H21" s="17"/>
      <c r="I21" s="18"/>
      <c r="J21" s="31"/>
      <c r="K21"/>
      <c r="L21"/>
      <c r="M21"/>
      <c r="N21"/>
      <c r="O21"/>
      <c r="P21"/>
      <c r="Q21"/>
      <c r="R21"/>
      <c r="S21"/>
      <c r="T21"/>
      <c r="U21"/>
    </row>
    <row r="22" spans="1:21" ht="15" customHeight="1" x14ac:dyDescent="0.25">
      <c r="A22" s="25"/>
      <c r="B22" s="17"/>
      <c r="C22" s="17"/>
      <c r="D22" s="17"/>
      <c r="E22" s="17"/>
      <c r="F22" s="17"/>
      <c r="G22" s="17"/>
      <c r="H22" s="17"/>
      <c r="I22" s="18"/>
      <c r="J22" s="31"/>
      <c r="K22"/>
      <c r="L22"/>
      <c r="M22"/>
      <c r="N22"/>
      <c r="O22"/>
      <c r="P22"/>
      <c r="Q22"/>
      <c r="R22"/>
      <c r="S22"/>
      <c r="T22"/>
      <c r="U22"/>
    </row>
    <row r="23" spans="1:21" ht="15" customHeight="1" x14ac:dyDescent="0.25">
      <c r="A23" s="25"/>
      <c r="B23" s="17"/>
      <c r="C23" s="17"/>
      <c r="D23" s="17"/>
      <c r="E23" s="17"/>
      <c r="F23" s="17"/>
      <c r="G23" s="17"/>
      <c r="H23" s="17"/>
      <c r="I23" s="18"/>
      <c r="J23" s="31"/>
      <c r="K23"/>
      <c r="L23"/>
      <c r="M23"/>
      <c r="N23"/>
      <c r="O23"/>
      <c r="P23"/>
      <c r="Q23"/>
      <c r="R23"/>
      <c r="S23"/>
      <c r="T23"/>
      <c r="U23"/>
    </row>
    <row r="24" spans="1:21" ht="15" customHeight="1" x14ac:dyDescent="0.25">
      <c r="A24" s="25"/>
      <c r="B24" s="17"/>
      <c r="C24" s="17"/>
      <c r="D24" s="17"/>
      <c r="E24" s="17"/>
      <c r="F24" s="17"/>
      <c r="G24" s="17"/>
      <c r="H24" s="17"/>
      <c r="I24" s="18"/>
      <c r="J24" s="31"/>
      <c r="K24"/>
      <c r="L24"/>
      <c r="M24"/>
      <c r="N24"/>
      <c r="O24"/>
      <c r="P24"/>
      <c r="Q24"/>
      <c r="R24"/>
      <c r="S24"/>
      <c r="T24"/>
      <c r="U24"/>
    </row>
    <row r="25" spans="1:21" ht="15" customHeight="1" x14ac:dyDescent="0.25">
      <c r="A25" s="25"/>
      <c r="B25" s="17"/>
      <c r="C25" s="17"/>
      <c r="D25" s="17"/>
      <c r="E25" s="17"/>
      <c r="F25" s="17"/>
      <c r="G25" s="17"/>
      <c r="H25" s="17"/>
      <c r="I25" s="18"/>
      <c r="J25" s="31"/>
      <c r="K25"/>
      <c r="L25"/>
      <c r="M25"/>
      <c r="N25"/>
      <c r="O25"/>
      <c r="P25"/>
      <c r="Q25"/>
      <c r="R25"/>
      <c r="S25"/>
      <c r="T25"/>
      <c r="U25"/>
    </row>
    <row r="26" spans="1:21" ht="15" customHeight="1" x14ac:dyDescent="0.25">
      <c r="A26" s="25"/>
      <c r="B26" s="17"/>
      <c r="C26" s="17"/>
      <c r="D26" s="17"/>
      <c r="E26" s="17"/>
      <c r="F26" s="17"/>
      <c r="G26" s="17"/>
      <c r="H26" s="17"/>
      <c r="I26" s="18"/>
      <c r="J26" s="31"/>
      <c r="K26"/>
      <c r="L26"/>
      <c r="M26"/>
      <c r="N26"/>
      <c r="O26"/>
      <c r="P26"/>
      <c r="Q26"/>
      <c r="R26"/>
      <c r="S26"/>
      <c r="T26"/>
      <c r="U26"/>
    </row>
    <row r="27" spans="1:21" ht="15" customHeight="1" x14ac:dyDescent="0.25">
      <c r="A27" s="25"/>
      <c r="B27" s="17"/>
      <c r="C27" s="17"/>
      <c r="D27" s="17"/>
      <c r="E27" s="17"/>
      <c r="F27" s="17"/>
      <c r="G27" s="17"/>
      <c r="H27" s="17"/>
      <c r="I27" s="18"/>
      <c r="J27" s="31"/>
      <c r="K27"/>
      <c r="L27"/>
      <c r="M27"/>
      <c r="N27"/>
      <c r="O27"/>
      <c r="P27"/>
      <c r="Q27"/>
      <c r="R27"/>
      <c r="S27"/>
      <c r="T27"/>
      <c r="U27"/>
    </row>
    <row r="28" spans="1:21" ht="15" customHeight="1" x14ac:dyDescent="0.25">
      <c r="A28" s="25"/>
      <c r="B28" s="17"/>
      <c r="C28" s="17"/>
      <c r="D28" s="17"/>
      <c r="E28" s="17"/>
      <c r="F28" s="17"/>
      <c r="G28" s="17"/>
      <c r="H28" s="17"/>
      <c r="I28" s="18"/>
      <c r="J28" s="31"/>
      <c r="K28"/>
      <c r="L28"/>
      <c r="M28"/>
      <c r="N28"/>
      <c r="O28"/>
      <c r="P28"/>
      <c r="Q28"/>
      <c r="R28"/>
      <c r="S28"/>
      <c r="T28"/>
      <c r="U28"/>
    </row>
    <row r="29" spans="1:21" ht="15" customHeight="1" x14ac:dyDescent="0.25">
      <c r="A29" s="22"/>
      <c r="B29" s="17"/>
      <c r="C29" s="17"/>
      <c r="D29" s="17"/>
      <c r="E29" s="17"/>
      <c r="F29" s="17"/>
      <c r="G29" s="17"/>
      <c r="H29" s="17"/>
      <c r="I29" s="18"/>
      <c r="J29" s="31"/>
      <c r="K29"/>
      <c r="L29"/>
      <c r="M29"/>
      <c r="N29"/>
      <c r="O29"/>
      <c r="P29"/>
      <c r="Q29"/>
      <c r="R29"/>
      <c r="S29"/>
      <c r="T29"/>
      <c r="U29"/>
    </row>
    <row r="30" spans="1:21" ht="15" customHeight="1" thickBot="1" x14ac:dyDescent="0.3">
      <c r="A30" s="24"/>
      <c r="B30" s="32"/>
      <c r="C30" s="32"/>
      <c r="D30" s="32"/>
      <c r="E30" s="32"/>
      <c r="F30" s="32"/>
      <c r="G30" s="32"/>
      <c r="H30" s="32"/>
      <c r="I30" s="33"/>
      <c r="J30" s="31"/>
      <c r="K30"/>
      <c r="L30"/>
      <c r="M30"/>
      <c r="N30"/>
      <c r="O30"/>
      <c r="P30"/>
      <c r="Q30"/>
      <c r="R30"/>
      <c r="S30"/>
      <c r="T30"/>
      <c r="U30"/>
    </row>
    <row r="31" spans="1:21" ht="15" customHeight="1" x14ac:dyDescent="0.25">
      <c r="B31" s="31"/>
      <c r="C31" s="31"/>
      <c r="D31" s="31"/>
      <c r="E31" s="31"/>
      <c r="F31" s="31"/>
      <c r="G31" s="31"/>
      <c r="H31" s="31"/>
      <c r="I31" s="31"/>
      <c r="J31" s="31"/>
      <c r="K31"/>
      <c r="L31"/>
      <c r="M31"/>
      <c r="N31"/>
      <c r="O31"/>
      <c r="P31"/>
      <c r="Q31"/>
      <c r="R31"/>
      <c r="S31"/>
      <c r="T31"/>
      <c r="U31"/>
    </row>
    <row r="32" spans="1:21" ht="15" customHeight="1" x14ac:dyDescent="0.25">
      <c r="J32" s="31"/>
      <c r="K32"/>
      <c r="L32"/>
      <c r="M32"/>
      <c r="N32"/>
      <c r="O32"/>
      <c r="P32"/>
      <c r="Q32"/>
      <c r="R32"/>
      <c r="S32"/>
      <c r="T32"/>
      <c r="U32"/>
    </row>
    <row r="33" spans="2:21" ht="15" customHeight="1" x14ac:dyDescent="0.25">
      <c r="J33" s="31"/>
      <c r="K33"/>
      <c r="L33"/>
      <c r="M33"/>
      <c r="N33"/>
      <c r="O33"/>
      <c r="P33"/>
      <c r="Q33"/>
      <c r="R33"/>
      <c r="S33"/>
      <c r="T33"/>
      <c r="U33"/>
    </row>
    <row r="34" spans="2:21" ht="15" customHeight="1" x14ac:dyDescent="0.25">
      <c r="J34" s="31"/>
      <c r="K34"/>
      <c r="L34"/>
      <c r="M34"/>
      <c r="N34"/>
      <c r="O34"/>
      <c r="P34"/>
      <c r="Q34"/>
      <c r="R34"/>
      <c r="S34"/>
      <c r="T34"/>
      <c r="U34"/>
    </row>
    <row r="35" spans="2:21" ht="15" customHeight="1" x14ac:dyDescent="0.25">
      <c r="J35" s="31"/>
      <c r="K35"/>
      <c r="L35"/>
      <c r="M35"/>
      <c r="N35"/>
      <c r="O35"/>
      <c r="P35"/>
      <c r="Q35"/>
      <c r="R35"/>
      <c r="S35"/>
      <c r="T35"/>
      <c r="U35"/>
    </row>
    <row r="36" spans="2:21" ht="15" customHeight="1" x14ac:dyDescent="0.25">
      <c r="J36" s="31"/>
      <c r="K36"/>
      <c r="L36"/>
      <c r="M36"/>
      <c r="N36"/>
      <c r="O36"/>
      <c r="P36"/>
      <c r="Q36"/>
      <c r="R36"/>
      <c r="S36"/>
      <c r="T36"/>
      <c r="U36"/>
    </row>
    <row r="37" spans="2:21" ht="15" customHeight="1" x14ac:dyDescent="0.25">
      <c r="J37" s="31"/>
      <c r="K37"/>
      <c r="L37"/>
      <c r="M37"/>
      <c r="N37"/>
      <c r="O37"/>
      <c r="P37"/>
      <c r="Q37"/>
      <c r="R37"/>
      <c r="S37"/>
      <c r="T37"/>
      <c r="U37"/>
    </row>
    <row r="38" spans="2:21" ht="15" customHeight="1" x14ac:dyDescent="0.25">
      <c r="J38" s="31"/>
      <c r="K38"/>
      <c r="L38"/>
      <c r="M38"/>
      <c r="N38"/>
      <c r="O38"/>
      <c r="P38"/>
      <c r="Q38"/>
      <c r="R38"/>
      <c r="S38"/>
      <c r="T38"/>
      <c r="U38"/>
    </row>
    <row r="39" spans="2:21" ht="15" customHeight="1" x14ac:dyDescent="0.25">
      <c r="J39" s="31"/>
      <c r="K39"/>
      <c r="L39"/>
      <c r="M39"/>
      <c r="N39"/>
      <c r="O39"/>
      <c r="P39"/>
      <c r="Q39"/>
      <c r="R39"/>
      <c r="S39"/>
      <c r="T39"/>
      <c r="U39"/>
    </row>
    <row r="40" spans="2:21" ht="15" customHeight="1" x14ac:dyDescent="0.25">
      <c r="J40" s="31"/>
      <c r="K40"/>
      <c r="L40"/>
      <c r="M40"/>
      <c r="N40"/>
      <c r="O40"/>
      <c r="P40"/>
      <c r="Q40"/>
      <c r="R40"/>
      <c r="S40"/>
      <c r="T40"/>
      <c r="U40"/>
    </row>
    <row r="41" spans="2:21" ht="15" customHeight="1" x14ac:dyDescent="0.25">
      <c r="J41" s="31"/>
      <c r="K41"/>
      <c r="L41"/>
      <c r="M41"/>
      <c r="N41"/>
      <c r="O41"/>
      <c r="P41"/>
      <c r="Q41"/>
      <c r="R41"/>
      <c r="S41"/>
      <c r="T41"/>
      <c r="U41"/>
    </row>
    <row r="42" spans="2:21" ht="15" customHeight="1" x14ac:dyDescent="0.25">
      <c r="J42" s="31"/>
      <c r="K42"/>
      <c r="L42"/>
      <c r="M42"/>
      <c r="N42"/>
      <c r="O42"/>
      <c r="P42"/>
      <c r="Q42"/>
      <c r="R42"/>
      <c r="S42"/>
      <c r="T42"/>
      <c r="U42"/>
    </row>
    <row r="43" spans="2:21" ht="15" customHeight="1" x14ac:dyDescent="0.25">
      <c r="J43" s="31"/>
      <c r="K43"/>
      <c r="L43"/>
      <c r="M43"/>
      <c r="N43"/>
      <c r="O43"/>
      <c r="P43"/>
      <c r="Q43"/>
      <c r="R43"/>
      <c r="S43"/>
      <c r="T43"/>
      <c r="U43"/>
    </row>
    <row r="44" spans="2:21" ht="15" customHeight="1" x14ac:dyDescent="0.25">
      <c r="J44" s="31"/>
      <c r="K44"/>
      <c r="L44"/>
      <c r="M44"/>
      <c r="N44"/>
      <c r="O44"/>
      <c r="P44"/>
      <c r="Q44"/>
      <c r="R44"/>
      <c r="S44"/>
      <c r="T44"/>
      <c r="U44"/>
    </row>
    <row r="45" spans="2:21" ht="15" customHeight="1" x14ac:dyDescent="0.25">
      <c r="J45" s="31"/>
      <c r="K45"/>
      <c r="L45"/>
      <c r="M45"/>
      <c r="N45"/>
      <c r="O45"/>
      <c r="P45"/>
      <c r="Q45"/>
      <c r="R45"/>
      <c r="S45"/>
      <c r="T45"/>
      <c r="U45"/>
    </row>
    <row r="46" spans="2:21" ht="15" customHeight="1" x14ac:dyDescent="0.25">
      <c r="B46" s="31"/>
      <c r="C46" s="31"/>
      <c r="D46" s="31"/>
      <c r="E46" s="31"/>
      <c r="F46" s="31"/>
      <c r="G46" s="31"/>
      <c r="H46" s="31"/>
      <c r="I46" s="31"/>
      <c r="J46" s="31"/>
      <c r="K46"/>
      <c r="L46"/>
      <c r="M46"/>
      <c r="N46"/>
      <c r="O46"/>
      <c r="P46"/>
      <c r="Q46"/>
      <c r="R46"/>
      <c r="S46"/>
      <c r="T46"/>
      <c r="U46"/>
    </row>
    <row r="47" spans="2:21" ht="15" customHeight="1" x14ac:dyDescent="0.25">
      <c r="B47" s="31"/>
      <c r="C47" s="31"/>
      <c r="D47" s="31"/>
      <c r="E47" s="31"/>
      <c r="F47" s="31"/>
      <c r="G47" s="31"/>
      <c r="H47" s="31"/>
      <c r="I47" s="31"/>
      <c r="J47" s="31"/>
      <c r="K47"/>
      <c r="L47"/>
      <c r="M47"/>
      <c r="N47"/>
      <c r="O47"/>
      <c r="P47"/>
      <c r="Q47"/>
      <c r="R47"/>
      <c r="S47"/>
      <c r="T47"/>
      <c r="U47"/>
    </row>
    <row r="48" spans="2:21" ht="15" customHeight="1" x14ac:dyDescent="0.25">
      <c r="B48" s="31"/>
      <c r="C48" s="31"/>
      <c r="D48" s="31"/>
      <c r="E48" s="31"/>
      <c r="F48" s="31"/>
      <c r="G48" s="31"/>
      <c r="H48" s="31"/>
      <c r="I48" s="31"/>
      <c r="J48" s="31"/>
      <c r="K48"/>
      <c r="L48"/>
      <c r="M48"/>
      <c r="N48"/>
      <c r="O48"/>
      <c r="P48"/>
      <c r="Q48"/>
      <c r="R48"/>
      <c r="S48"/>
      <c r="T48"/>
      <c r="U48"/>
    </row>
    <row r="49" spans="2:21" ht="15" customHeight="1" x14ac:dyDescent="0.25">
      <c r="B49" s="31"/>
      <c r="C49" s="31"/>
      <c r="D49" s="31"/>
      <c r="E49" s="31"/>
      <c r="F49" s="31"/>
      <c r="G49" s="31"/>
      <c r="H49" s="31"/>
      <c r="I49" s="31"/>
      <c r="J49" s="31"/>
      <c r="K49"/>
      <c r="L49"/>
      <c r="M49"/>
      <c r="N49"/>
      <c r="O49"/>
      <c r="P49"/>
      <c r="Q49"/>
      <c r="R49"/>
      <c r="S49"/>
      <c r="T49"/>
      <c r="U49"/>
    </row>
    <row r="50" spans="2:21" ht="15" customHeight="1" x14ac:dyDescent="0.25">
      <c r="B50" s="31"/>
      <c r="C50" s="31"/>
      <c r="D50" s="31"/>
      <c r="E50" s="31"/>
      <c r="F50" s="31"/>
      <c r="G50" s="31"/>
      <c r="H50" s="31"/>
      <c r="I50" s="31"/>
      <c r="J50" s="31"/>
      <c r="K50"/>
      <c r="L50"/>
      <c r="M50"/>
      <c r="N50"/>
      <c r="O50"/>
      <c r="P50"/>
      <c r="Q50"/>
      <c r="R50"/>
      <c r="S50"/>
      <c r="T50"/>
      <c r="U50"/>
    </row>
    <row r="51" spans="2:21" ht="15" customHeight="1" x14ac:dyDescent="0.25">
      <c r="B51" s="31"/>
      <c r="C51" s="31"/>
      <c r="D51" s="31"/>
      <c r="E51" s="31"/>
      <c r="F51" s="31"/>
      <c r="G51" s="31"/>
      <c r="H51" s="31"/>
      <c r="I51" s="31"/>
      <c r="J51" s="31"/>
      <c r="K51"/>
      <c r="L51"/>
      <c r="M51"/>
      <c r="N51"/>
      <c r="O51"/>
      <c r="P51"/>
      <c r="Q51"/>
      <c r="R51"/>
      <c r="S51"/>
      <c r="T51"/>
      <c r="U51"/>
    </row>
    <row r="52" spans="2:21" ht="15" customHeight="1" x14ac:dyDescent="0.25">
      <c r="B52" s="31"/>
      <c r="C52" s="31"/>
      <c r="D52" s="31"/>
      <c r="E52" s="31"/>
      <c r="F52" s="31"/>
      <c r="G52" s="31"/>
      <c r="H52" s="31"/>
      <c r="I52" s="31"/>
      <c r="J52" s="31"/>
      <c r="K52"/>
      <c r="L52"/>
      <c r="M52"/>
      <c r="N52"/>
      <c r="O52"/>
      <c r="P52"/>
      <c r="Q52"/>
      <c r="R52"/>
      <c r="S52"/>
      <c r="T52"/>
      <c r="U52"/>
    </row>
    <row r="53" spans="2:21" ht="15" customHeight="1" x14ac:dyDescent="0.25">
      <c r="B53" s="31"/>
      <c r="C53" s="31"/>
      <c r="D53" s="31"/>
      <c r="E53" s="31"/>
      <c r="F53" s="31"/>
      <c r="G53" s="31"/>
      <c r="H53" s="31"/>
      <c r="I53" s="31"/>
      <c r="J53" s="31"/>
      <c r="K53"/>
      <c r="L53"/>
      <c r="M53"/>
      <c r="N53"/>
      <c r="O53"/>
      <c r="P53"/>
      <c r="Q53"/>
      <c r="R53"/>
      <c r="S53"/>
      <c r="T53"/>
      <c r="U53"/>
    </row>
    <row r="54" spans="2:21" ht="15" customHeight="1" x14ac:dyDescent="0.25">
      <c r="B54" s="31"/>
      <c r="C54" s="31"/>
      <c r="D54" s="31"/>
      <c r="E54" s="31"/>
      <c r="F54" s="31"/>
      <c r="G54" s="31"/>
      <c r="H54" s="31"/>
      <c r="I54" s="31"/>
      <c r="J54" s="31"/>
      <c r="K54"/>
      <c r="L54"/>
      <c r="M54"/>
      <c r="N54"/>
      <c r="O54"/>
      <c r="P54"/>
      <c r="Q54"/>
      <c r="R54"/>
      <c r="S54"/>
      <c r="T54"/>
      <c r="U54"/>
    </row>
    <row r="55" spans="2:21" ht="15" customHeight="1" x14ac:dyDescent="0.25">
      <c r="B55" s="31"/>
      <c r="C55" s="31"/>
      <c r="D55" s="31"/>
      <c r="E55" s="31"/>
      <c r="F55" s="31"/>
      <c r="G55" s="31"/>
      <c r="H55" s="31"/>
      <c r="I55" s="31"/>
      <c r="J55" s="31"/>
      <c r="K55"/>
      <c r="L55"/>
      <c r="M55"/>
      <c r="N55"/>
      <c r="O55"/>
      <c r="P55"/>
      <c r="Q55"/>
      <c r="R55"/>
      <c r="S55"/>
      <c r="T55"/>
      <c r="U55"/>
    </row>
    <row r="56" spans="2:21" ht="15" customHeight="1" x14ac:dyDescent="0.25">
      <c r="B56" s="31"/>
      <c r="C56" s="31"/>
      <c r="D56" s="31"/>
      <c r="E56" s="31"/>
      <c r="F56" s="31"/>
      <c r="G56" s="31"/>
      <c r="H56" s="31"/>
      <c r="I56" s="31"/>
      <c r="J56" s="31"/>
      <c r="K56"/>
      <c r="L56"/>
      <c r="M56"/>
      <c r="N56"/>
      <c r="O56"/>
      <c r="P56"/>
      <c r="Q56"/>
      <c r="R56"/>
      <c r="S56"/>
      <c r="T56"/>
      <c r="U56"/>
    </row>
    <row r="57" spans="2:21" ht="15" customHeight="1" x14ac:dyDescent="0.25">
      <c r="B57" s="31"/>
      <c r="C57" s="31"/>
      <c r="D57" s="31"/>
      <c r="E57" s="31"/>
      <c r="F57" s="31"/>
      <c r="G57" s="31"/>
      <c r="H57" s="31"/>
      <c r="I57" s="31"/>
      <c r="J57" s="31"/>
      <c r="K57"/>
      <c r="L57"/>
      <c r="M57"/>
      <c r="N57"/>
      <c r="O57"/>
      <c r="P57"/>
      <c r="Q57"/>
      <c r="R57"/>
      <c r="S57"/>
      <c r="T57"/>
      <c r="U57"/>
    </row>
    <row r="58" spans="2:21" ht="15" customHeight="1" x14ac:dyDescent="0.25">
      <c r="B58" s="31"/>
      <c r="C58" s="31"/>
      <c r="D58" s="31"/>
      <c r="E58" s="31"/>
      <c r="F58" s="31"/>
      <c r="G58" s="31"/>
      <c r="H58" s="31"/>
      <c r="I58" s="31"/>
      <c r="J58" s="31"/>
      <c r="K58"/>
      <c r="L58"/>
      <c r="M58"/>
      <c r="N58"/>
      <c r="O58"/>
      <c r="P58"/>
      <c r="Q58"/>
      <c r="R58"/>
      <c r="S58"/>
      <c r="T58"/>
      <c r="U58"/>
    </row>
    <row r="59" spans="2:21" ht="15" customHeight="1" x14ac:dyDescent="0.25">
      <c r="B59" s="31"/>
      <c r="C59" s="31"/>
      <c r="D59" s="31"/>
      <c r="E59" s="31"/>
      <c r="F59" s="31"/>
      <c r="G59" s="31"/>
      <c r="H59" s="31"/>
      <c r="I59" s="31"/>
      <c r="J59" s="31"/>
      <c r="K59"/>
      <c r="L59"/>
      <c r="M59"/>
      <c r="N59"/>
      <c r="O59"/>
      <c r="P59"/>
      <c r="Q59"/>
      <c r="R59"/>
      <c r="S59"/>
      <c r="T59"/>
      <c r="U59"/>
    </row>
    <row r="60" spans="2:21" ht="15" customHeight="1" x14ac:dyDescent="0.25">
      <c r="B60" s="31"/>
      <c r="C60" s="31"/>
      <c r="D60" s="31"/>
      <c r="E60" s="31"/>
      <c r="F60" s="31"/>
      <c r="G60" s="31"/>
      <c r="H60" s="31"/>
      <c r="I60" s="31"/>
      <c r="J60" s="31"/>
      <c r="K60"/>
      <c r="L60"/>
      <c r="M60"/>
      <c r="N60"/>
      <c r="O60"/>
      <c r="P60"/>
      <c r="Q60"/>
      <c r="R60"/>
      <c r="S60"/>
      <c r="T60"/>
      <c r="U60"/>
    </row>
    <row r="61" spans="2:21" ht="15" customHeight="1" x14ac:dyDescent="0.25">
      <c r="B61" s="31"/>
      <c r="C61" s="31"/>
      <c r="D61" s="31"/>
      <c r="E61" s="31"/>
      <c r="F61" s="31"/>
      <c r="G61" s="31"/>
      <c r="H61" s="31"/>
      <c r="I61" s="31"/>
      <c r="J61" s="31"/>
      <c r="K61"/>
      <c r="L61"/>
      <c r="M61"/>
      <c r="N61"/>
      <c r="O61"/>
      <c r="P61"/>
      <c r="Q61"/>
      <c r="R61"/>
      <c r="S61"/>
      <c r="T61"/>
      <c r="U61"/>
    </row>
    <row r="62" spans="2:21" ht="15" customHeight="1" x14ac:dyDescent="0.25">
      <c r="B62" s="31"/>
      <c r="C62" s="31"/>
      <c r="D62" s="31"/>
      <c r="E62" s="31"/>
      <c r="F62" s="31"/>
      <c r="G62" s="31"/>
      <c r="H62" s="31"/>
      <c r="I62" s="31"/>
      <c r="J62" s="31"/>
      <c r="K62"/>
      <c r="L62"/>
      <c r="M62"/>
      <c r="N62"/>
      <c r="O62"/>
      <c r="P62"/>
      <c r="Q62"/>
      <c r="R62"/>
      <c r="S62"/>
      <c r="T62"/>
      <c r="U62"/>
    </row>
    <row r="63" spans="2:21" ht="15" customHeight="1" x14ac:dyDescent="0.25">
      <c r="B63" s="31"/>
      <c r="C63" s="31"/>
      <c r="D63" s="31"/>
      <c r="E63" s="31"/>
      <c r="F63" s="31"/>
      <c r="G63" s="31"/>
      <c r="H63" s="31"/>
      <c r="I63" s="31"/>
      <c r="J63" s="31"/>
      <c r="K63"/>
      <c r="L63"/>
      <c r="M63"/>
      <c r="N63"/>
      <c r="O63"/>
      <c r="P63"/>
      <c r="Q63"/>
      <c r="R63"/>
      <c r="S63"/>
      <c r="T63"/>
      <c r="U63"/>
    </row>
    <row r="64" spans="2:21" ht="15" customHeight="1" x14ac:dyDescent="0.25">
      <c r="B64" s="31"/>
      <c r="C64" s="31"/>
      <c r="D64" s="31"/>
      <c r="E64" s="31"/>
      <c r="F64" s="31"/>
      <c r="G64" s="31"/>
      <c r="H64" s="31"/>
      <c r="I64" s="31"/>
      <c r="J64" s="31"/>
      <c r="K64"/>
      <c r="L64"/>
      <c r="M64"/>
      <c r="N64"/>
      <c r="O64"/>
      <c r="P64"/>
      <c r="Q64"/>
      <c r="R64"/>
      <c r="S64"/>
      <c r="T64"/>
      <c r="U64"/>
    </row>
    <row r="65" spans="2:21" ht="15" customHeight="1" x14ac:dyDescent="0.25">
      <c r="B65" s="31"/>
      <c r="C65" s="31"/>
      <c r="D65" s="31"/>
      <c r="E65" s="31"/>
      <c r="F65" s="31"/>
      <c r="G65" s="31"/>
      <c r="H65" s="31"/>
      <c r="I65" s="31"/>
      <c r="J65" s="31"/>
      <c r="K65"/>
      <c r="L65"/>
      <c r="M65"/>
      <c r="N65"/>
      <c r="O65"/>
      <c r="P65"/>
      <c r="Q65"/>
      <c r="R65"/>
      <c r="S65"/>
      <c r="T65"/>
      <c r="U65"/>
    </row>
    <row r="66" spans="2:21" ht="15" customHeight="1" x14ac:dyDescent="0.25">
      <c r="B66" s="31"/>
      <c r="C66" s="31"/>
      <c r="D66" s="31"/>
      <c r="E66" s="31"/>
      <c r="F66" s="31"/>
      <c r="G66" s="31"/>
      <c r="H66" s="31"/>
      <c r="I66" s="31"/>
      <c r="J66" s="31"/>
      <c r="K66"/>
      <c r="L66"/>
      <c r="M66"/>
      <c r="N66"/>
      <c r="O66"/>
      <c r="P66"/>
      <c r="Q66"/>
      <c r="R66"/>
      <c r="S66"/>
      <c r="T66"/>
      <c r="U66"/>
    </row>
    <row r="67" spans="2:21" ht="15" customHeight="1" x14ac:dyDescent="0.25">
      <c r="B67" s="31"/>
      <c r="C67" s="31"/>
      <c r="D67" s="31"/>
      <c r="E67" s="31"/>
      <c r="F67" s="31"/>
      <c r="G67" s="31"/>
      <c r="H67" s="31"/>
      <c r="I67" s="31"/>
      <c r="J67" s="31"/>
      <c r="K67"/>
      <c r="L67"/>
      <c r="M67"/>
      <c r="N67"/>
      <c r="O67"/>
      <c r="P67"/>
      <c r="Q67"/>
      <c r="R67"/>
      <c r="S67"/>
      <c r="T67"/>
      <c r="U67"/>
    </row>
    <row r="68" spans="2:21" ht="15" customHeight="1" x14ac:dyDescent="0.25">
      <c r="B68" s="31"/>
      <c r="C68" s="31"/>
      <c r="D68" s="31"/>
      <c r="E68" s="31"/>
      <c r="F68" s="31"/>
      <c r="G68" s="31"/>
      <c r="H68" s="31"/>
      <c r="I68" s="31"/>
      <c r="J68" s="31"/>
      <c r="K68"/>
      <c r="L68"/>
      <c r="M68"/>
      <c r="N68"/>
      <c r="O68"/>
      <c r="P68"/>
      <c r="Q68"/>
      <c r="R68"/>
      <c r="S68"/>
      <c r="T68"/>
      <c r="U68"/>
    </row>
    <row r="69" spans="2:21" ht="15" customHeight="1" x14ac:dyDescent="0.25">
      <c r="B69" s="31"/>
      <c r="C69" s="31"/>
      <c r="D69" s="31"/>
      <c r="E69" s="31"/>
      <c r="F69" s="31"/>
      <c r="G69" s="31"/>
      <c r="H69" s="31"/>
      <c r="I69" s="31"/>
      <c r="J69" s="31"/>
      <c r="K69"/>
      <c r="L69"/>
      <c r="M69"/>
      <c r="N69"/>
      <c r="O69"/>
      <c r="P69"/>
      <c r="Q69"/>
      <c r="R69"/>
      <c r="S69"/>
      <c r="T69"/>
      <c r="U69"/>
    </row>
    <row r="70" spans="2:21" ht="15" customHeight="1" x14ac:dyDescent="0.25">
      <c r="B70" s="31"/>
      <c r="C70" s="31"/>
      <c r="D70" s="31"/>
      <c r="E70" s="31"/>
      <c r="F70" s="31"/>
      <c r="G70" s="31"/>
      <c r="H70" s="31"/>
      <c r="I70" s="31"/>
      <c r="J70" s="31"/>
      <c r="K70"/>
      <c r="L70"/>
      <c r="M70"/>
      <c r="N70"/>
      <c r="O70"/>
      <c r="P70"/>
      <c r="Q70"/>
      <c r="R70"/>
      <c r="S70"/>
      <c r="T70"/>
      <c r="U70"/>
    </row>
    <row r="71" spans="2:21" ht="15" customHeight="1" x14ac:dyDescent="0.25">
      <c r="B71" s="31"/>
      <c r="C71" s="31"/>
      <c r="D71" s="31"/>
      <c r="E71" s="31"/>
      <c r="F71" s="31"/>
      <c r="G71" s="31"/>
      <c r="H71" s="31"/>
      <c r="I71" s="31"/>
      <c r="J71" s="31"/>
      <c r="K71"/>
      <c r="L71"/>
      <c r="M71"/>
      <c r="N71"/>
      <c r="O71"/>
      <c r="P71"/>
      <c r="Q71"/>
      <c r="R71"/>
      <c r="S71"/>
      <c r="T71"/>
      <c r="U71"/>
    </row>
    <row r="72" spans="2:21" ht="15" customHeight="1" x14ac:dyDescent="0.25">
      <c r="B72" s="31"/>
      <c r="C72" s="31"/>
      <c r="D72" s="31"/>
      <c r="E72" s="31"/>
      <c r="F72" s="31"/>
      <c r="G72" s="31"/>
      <c r="H72" s="31"/>
      <c r="I72" s="31"/>
      <c r="J72" s="31"/>
      <c r="K72"/>
      <c r="L72"/>
      <c r="M72"/>
      <c r="N72"/>
      <c r="O72"/>
      <c r="P72"/>
      <c r="Q72"/>
      <c r="R72"/>
      <c r="S72"/>
      <c r="T72"/>
      <c r="U72"/>
    </row>
    <row r="73" spans="2:21" ht="15" customHeight="1" x14ac:dyDescent="0.25">
      <c r="B73" s="31"/>
      <c r="C73" s="31"/>
      <c r="D73" s="31"/>
      <c r="E73" s="31"/>
      <c r="F73" s="31"/>
      <c r="G73" s="31"/>
      <c r="H73" s="31"/>
      <c r="I73" s="31"/>
      <c r="J73" s="31"/>
      <c r="K73"/>
      <c r="L73"/>
      <c r="M73"/>
      <c r="N73"/>
      <c r="O73"/>
      <c r="P73"/>
      <c r="Q73"/>
      <c r="R73"/>
      <c r="S73"/>
      <c r="T73"/>
      <c r="U73"/>
    </row>
    <row r="74" spans="2:21" ht="15" customHeight="1" x14ac:dyDescent="0.25">
      <c r="B74" s="31"/>
      <c r="C74" s="31"/>
      <c r="D74" s="31"/>
      <c r="E74" s="31"/>
      <c r="F74" s="31"/>
      <c r="G74" s="31"/>
      <c r="H74" s="31"/>
      <c r="I74" s="31"/>
      <c r="J74" s="31"/>
      <c r="K74"/>
      <c r="L74"/>
      <c r="M74"/>
      <c r="N74"/>
      <c r="O74"/>
      <c r="P74"/>
      <c r="Q74"/>
      <c r="R74"/>
      <c r="S74"/>
      <c r="T74"/>
      <c r="U74"/>
    </row>
    <row r="75" spans="2:21" ht="15" customHeight="1" x14ac:dyDescent="0.25">
      <c r="B75" s="31"/>
      <c r="C75" s="31"/>
      <c r="D75" s="31"/>
      <c r="E75" s="31"/>
      <c r="F75" s="31"/>
      <c r="G75" s="31"/>
      <c r="H75" s="31"/>
      <c r="I75" s="31"/>
      <c r="J75" s="31"/>
      <c r="K75"/>
      <c r="L75"/>
      <c r="M75"/>
      <c r="N75"/>
      <c r="O75"/>
      <c r="P75"/>
      <c r="Q75"/>
      <c r="R75"/>
      <c r="S75"/>
      <c r="T75"/>
      <c r="U75"/>
    </row>
    <row r="76" spans="2:21" ht="15" customHeight="1" x14ac:dyDescent="0.25">
      <c r="B76" s="31"/>
      <c r="C76" s="31"/>
      <c r="D76" s="31"/>
      <c r="E76" s="31"/>
      <c r="F76" s="31"/>
      <c r="G76" s="31"/>
      <c r="H76" s="31"/>
      <c r="I76" s="31"/>
      <c r="J76" s="31"/>
      <c r="K76"/>
      <c r="L76"/>
      <c r="M76"/>
      <c r="N76"/>
      <c r="O76"/>
      <c r="P76"/>
      <c r="Q76"/>
      <c r="R76"/>
      <c r="S76"/>
      <c r="T76"/>
      <c r="U76"/>
    </row>
    <row r="77" spans="2:21" ht="15" customHeight="1" x14ac:dyDescent="0.25">
      <c r="B77" s="31"/>
      <c r="C77" s="31"/>
      <c r="D77" s="31"/>
      <c r="E77" s="31"/>
      <c r="F77" s="31"/>
      <c r="G77" s="31"/>
      <c r="H77" s="31"/>
      <c r="I77" s="31"/>
      <c r="J77" s="31"/>
      <c r="K77"/>
      <c r="L77"/>
      <c r="M77"/>
      <c r="N77"/>
      <c r="O77"/>
      <c r="P77"/>
      <c r="Q77"/>
      <c r="R77"/>
      <c r="S77"/>
      <c r="T77"/>
      <c r="U77"/>
    </row>
    <row r="78" spans="2:21" ht="15" customHeight="1" x14ac:dyDescent="0.25">
      <c r="B78" s="31"/>
      <c r="C78" s="31"/>
      <c r="D78" s="31"/>
      <c r="E78" s="31"/>
      <c r="F78" s="31"/>
      <c r="G78" s="31"/>
      <c r="H78" s="31"/>
      <c r="I78" s="31"/>
      <c r="J78" s="31"/>
      <c r="K78"/>
      <c r="L78"/>
      <c r="M78"/>
      <c r="N78"/>
      <c r="O78"/>
      <c r="P78"/>
      <c r="Q78"/>
      <c r="R78"/>
      <c r="S78"/>
      <c r="T78"/>
      <c r="U78"/>
    </row>
    <row r="79" spans="2:21" ht="15" customHeight="1" x14ac:dyDescent="0.25">
      <c r="B79" s="31"/>
      <c r="C79" s="31"/>
      <c r="D79" s="31"/>
      <c r="E79" s="31"/>
      <c r="F79" s="31"/>
      <c r="G79" s="31"/>
      <c r="H79" s="31"/>
      <c r="I79" s="31"/>
      <c r="J79" s="31"/>
      <c r="K79"/>
      <c r="L79"/>
      <c r="M79"/>
      <c r="N79"/>
      <c r="O79"/>
      <c r="P79"/>
      <c r="Q79"/>
      <c r="R79"/>
      <c r="S79"/>
      <c r="T79"/>
      <c r="U79"/>
    </row>
    <row r="80" spans="2:21" ht="15" customHeight="1" x14ac:dyDescent="0.25">
      <c r="B80" s="31"/>
      <c r="C80" s="31"/>
      <c r="D80" s="31"/>
      <c r="E80" s="31"/>
      <c r="F80" s="31"/>
      <c r="G80" s="31"/>
      <c r="H80" s="31"/>
      <c r="I80" s="31"/>
      <c r="J80" s="31"/>
      <c r="K80"/>
      <c r="L80"/>
      <c r="M80"/>
      <c r="N80"/>
      <c r="O80"/>
      <c r="P80"/>
      <c r="Q80"/>
      <c r="R80"/>
      <c r="S80"/>
      <c r="T80"/>
      <c r="U80"/>
    </row>
    <row r="81" spans="2:21" ht="15" customHeight="1" x14ac:dyDescent="0.25">
      <c r="B81" s="31"/>
      <c r="C81" s="31"/>
      <c r="D81" s="31"/>
      <c r="E81" s="31"/>
      <c r="F81" s="31"/>
      <c r="G81" s="31"/>
      <c r="H81" s="31"/>
      <c r="I81" s="31"/>
      <c r="J81" s="31"/>
      <c r="K81"/>
      <c r="L81"/>
      <c r="M81"/>
      <c r="N81"/>
      <c r="O81"/>
      <c r="P81"/>
      <c r="Q81"/>
      <c r="R81"/>
      <c r="S81"/>
      <c r="T81"/>
      <c r="U81"/>
    </row>
    <row r="82" spans="2:21" ht="15" customHeight="1" x14ac:dyDescent="0.25">
      <c r="B82" s="31"/>
      <c r="C82" s="31"/>
      <c r="D82" s="31"/>
      <c r="E82" s="31"/>
      <c r="F82" s="31"/>
      <c r="G82" s="31"/>
      <c r="H82" s="31"/>
      <c r="I82" s="31"/>
      <c r="J82" s="31"/>
      <c r="K82"/>
      <c r="L82"/>
      <c r="M82"/>
      <c r="N82"/>
      <c r="O82"/>
      <c r="P82"/>
      <c r="Q82"/>
      <c r="R82"/>
      <c r="S82"/>
      <c r="T82"/>
      <c r="U82"/>
    </row>
    <row r="83" spans="2:21" ht="15" customHeight="1" x14ac:dyDescent="0.25">
      <c r="B83" s="31"/>
      <c r="C83" s="31"/>
      <c r="D83" s="31"/>
      <c r="E83" s="31"/>
      <c r="F83" s="31"/>
      <c r="G83" s="31"/>
      <c r="H83" s="31"/>
      <c r="I83" s="31"/>
      <c r="J83" s="31"/>
      <c r="K83"/>
      <c r="L83"/>
      <c r="M83"/>
      <c r="N83"/>
      <c r="O83"/>
      <c r="P83"/>
      <c r="Q83"/>
      <c r="R83"/>
      <c r="S83"/>
      <c r="T83"/>
      <c r="U83"/>
    </row>
    <row r="84" spans="2:21" ht="15" customHeight="1" x14ac:dyDescent="0.25">
      <c r="B84" s="31"/>
      <c r="C84" s="31"/>
      <c r="D84" s="31"/>
      <c r="E84" s="31"/>
      <c r="F84" s="31"/>
      <c r="G84" s="31"/>
      <c r="H84" s="31"/>
      <c r="I84" s="31"/>
      <c r="J84" s="31"/>
      <c r="K84"/>
      <c r="L84"/>
      <c r="M84"/>
      <c r="N84"/>
      <c r="O84"/>
      <c r="P84"/>
      <c r="Q84"/>
      <c r="R84"/>
      <c r="S84"/>
      <c r="T84"/>
      <c r="U84"/>
    </row>
    <row r="85" spans="2:21" ht="15" customHeight="1" x14ac:dyDescent="0.25">
      <c r="B85" s="31"/>
      <c r="C85" s="31"/>
      <c r="D85" s="31"/>
      <c r="E85" s="31"/>
      <c r="F85" s="31"/>
      <c r="G85" s="31"/>
      <c r="H85" s="31"/>
      <c r="I85" s="31"/>
      <c r="J85" s="31"/>
      <c r="K85"/>
      <c r="L85"/>
      <c r="M85"/>
      <c r="N85"/>
      <c r="O85"/>
      <c r="P85"/>
      <c r="Q85"/>
      <c r="R85"/>
      <c r="S85"/>
      <c r="T85"/>
      <c r="U85"/>
    </row>
    <row r="86" spans="2:21" ht="15" customHeight="1" x14ac:dyDescent="0.25">
      <c r="B86" s="31"/>
      <c r="C86" s="31"/>
      <c r="D86" s="31"/>
      <c r="E86" s="31"/>
      <c r="F86" s="31"/>
      <c r="G86" s="31"/>
      <c r="H86" s="31"/>
      <c r="I86" s="31"/>
      <c r="J86" s="31"/>
      <c r="K86"/>
      <c r="L86"/>
      <c r="M86"/>
      <c r="N86"/>
      <c r="O86"/>
      <c r="P86"/>
      <c r="Q86"/>
      <c r="R86"/>
      <c r="S86"/>
      <c r="T86"/>
      <c r="U86"/>
    </row>
    <row r="87" spans="2:21" ht="15" customHeight="1" x14ac:dyDescent="0.25">
      <c r="B87" s="31"/>
      <c r="C87" s="31"/>
      <c r="D87" s="31"/>
      <c r="E87" s="31"/>
      <c r="F87" s="31"/>
      <c r="G87" s="31"/>
      <c r="H87" s="31"/>
      <c r="I87" s="31"/>
      <c r="J87" s="31"/>
      <c r="K87"/>
      <c r="L87"/>
      <c r="M87"/>
      <c r="N87"/>
      <c r="O87"/>
      <c r="P87"/>
      <c r="Q87"/>
      <c r="R87"/>
      <c r="S87"/>
      <c r="T87"/>
      <c r="U87"/>
    </row>
    <row r="88" spans="2:21" ht="15" customHeight="1" x14ac:dyDescent="0.25">
      <c r="B88" s="31"/>
      <c r="C88" s="31"/>
      <c r="D88" s="31"/>
      <c r="E88" s="31"/>
      <c r="F88" s="31"/>
      <c r="G88" s="31"/>
      <c r="H88" s="31"/>
      <c r="I88" s="31"/>
      <c r="J88" s="31"/>
      <c r="K88"/>
      <c r="L88"/>
      <c r="M88"/>
      <c r="N88"/>
      <c r="O88"/>
      <c r="P88"/>
      <c r="Q88"/>
      <c r="R88"/>
      <c r="S88"/>
      <c r="T88"/>
      <c r="U88"/>
    </row>
    <row r="89" spans="2:21" ht="15" customHeight="1" x14ac:dyDescent="0.25">
      <c r="B89" s="31"/>
      <c r="C89" s="31"/>
      <c r="D89" s="31"/>
      <c r="E89" s="31"/>
      <c r="F89" s="31"/>
      <c r="G89" s="31"/>
      <c r="H89" s="31"/>
      <c r="I89" s="31"/>
      <c r="J89" s="31"/>
      <c r="K89"/>
      <c r="L89"/>
      <c r="M89"/>
      <c r="N89"/>
      <c r="O89"/>
      <c r="P89"/>
      <c r="Q89"/>
      <c r="R89"/>
      <c r="S89"/>
      <c r="T89"/>
      <c r="U89"/>
    </row>
    <row r="90" spans="2:21" ht="15" customHeight="1" x14ac:dyDescent="0.25">
      <c r="B90" s="31"/>
      <c r="C90" s="31"/>
      <c r="D90" s="31"/>
      <c r="E90" s="31"/>
      <c r="F90" s="31"/>
      <c r="G90" s="31"/>
      <c r="H90" s="31"/>
      <c r="I90" s="31"/>
      <c r="J90" s="31"/>
      <c r="K90"/>
      <c r="L90"/>
      <c r="M90"/>
      <c r="N90"/>
      <c r="O90"/>
      <c r="P90"/>
      <c r="Q90"/>
      <c r="R90"/>
      <c r="S90"/>
      <c r="T90"/>
      <c r="U90"/>
    </row>
    <row r="91" spans="2:21" ht="15" customHeight="1" x14ac:dyDescent="0.25">
      <c r="B91" s="31"/>
      <c r="C91" s="31"/>
      <c r="D91" s="31"/>
      <c r="E91" s="31"/>
      <c r="F91" s="31"/>
      <c r="G91" s="31"/>
      <c r="H91" s="31"/>
      <c r="I91" s="31"/>
      <c r="J91" s="31"/>
      <c r="K91"/>
      <c r="L91"/>
      <c r="M91"/>
      <c r="N91"/>
      <c r="O91"/>
      <c r="P91"/>
      <c r="Q91"/>
      <c r="R91"/>
      <c r="S91"/>
      <c r="T91"/>
      <c r="U91"/>
    </row>
    <row r="92" spans="2:21" ht="15" customHeight="1" x14ac:dyDescent="0.25">
      <c r="B92" s="31"/>
      <c r="C92" s="31"/>
      <c r="D92" s="31"/>
      <c r="E92" s="31"/>
      <c r="F92" s="31"/>
      <c r="G92" s="31"/>
      <c r="H92" s="31"/>
      <c r="I92" s="31"/>
      <c r="J92" s="31"/>
      <c r="K92"/>
      <c r="L92"/>
      <c r="M92"/>
      <c r="N92"/>
      <c r="O92"/>
      <c r="P92"/>
      <c r="Q92"/>
      <c r="R92"/>
      <c r="S92"/>
      <c r="T92"/>
      <c r="U92"/>
    </row>
    <row r="93" spans="2:21" ht="15" customHeight="1" x14ac:dyDescent="0.25">
      <c r="B93" s="31"/>
      <c r="C93" s="31"/>
      <c r="D93" s="31"/>
      <c r="E93" s="31"/>
      <c r="F93" s="31"/>
      <c r="G93" s="31"/>
      <c r="H93" s="31"/>
      <c r="I93" s="31"/>
      <c r="J93" s="31"/>
      <c r="K93"/>
      <c r="L93"/>
      <c r="M93"/>
      <c r="N93"/>
      <c r="O93"/>
      <c r="P93"/>
      <c r="Q93"/>
      <c r="R93"/>
      <c r="S93"/>
      <c r="T93"/>
      <c r="U93"/>
    </row>
    <row r="94" spans="2:21" ht="15" customHeight="1" x14ac:dyDescent="0.25">
      <c r="B94" s="31"/>
      <c r="C94" s="31"/>
      <c r="D94" s="31"/>
      <c r="E94" s="31"/>
      <c r="F94" s="31"/>
      <c r="G94" s="31"/>
      <c r="H94" s="31"/>
      <c r="I94" s="31"/>
      <c r="J94" s="31"/>
      <c r="K94"/>
      <c r="L94"/>
      <c r="M94"/>
      <c r="N94"/>
      <c r="O94"/>
      <c r="P94"/>
      <c r="Q94"/>
      <c r="R94"/>
      <c r="S94"/>
      <c r="T94"/>
      <c r="U94"/>
    </row>
    <row r="95" spans="2:21" ht="15" customHeight="1" x14ac:dyDescent="0.25">
      <c r="B95" s="31"/>
      <c r="C95" s="31"/>
      <c r="D95" s="31"/>
      <c r="E95" s="31"/>
      <c r="F95" s="31"/>
      <c r="G95" s="31"/>
      <c r="H95" s="31"/>
      <c r="I95" s="31"/>
      <c r="J95" s="31"/>
      <c r="K95"/>
      <c r="L95"/>
      <c r="M95"/>
      <c r="N95"/>
      <c r="O95"/>
      <c r="P95"/>
      <c r="Q95"/>
      <c r="R95"/>
      <c r="S95"/>
      <c r="T95"/>
      <c r="U95"/>
    </row>
    <row r="96" spans="2:21" ht="15" customHeight="1" x14ac:dyDescent="0.25">
      <c r="B96" s="31"/>
      <c r="C96" s="31"/>
      <c r="D96" s="31"/>
      <c r="E96" s="31"/>
      <c r="F96" s="31"/>
      <c r="G96" s="31"/>
      <c r="H96" s="31"/>
      <c r="I96" s="31"/>
      <c r="J96" s="31"/>
      <c r="K96"/>
      <c r="L96"/>
      <c r="M96"/>
      <c r="N96"/>
      <c r="O96"/>
      <c r="P96"/>
      <c r="Q96"/>
      <c r="R96"/>
      <c r="S96"/>
      <c r="T96"/>
      <c r="U96"/>
    </row>
    <row r="97" spans="2:21" ht="15" customHeight="1" x14ac:dyDescent="0.25">
      <c r="B97" s="31"/>
      <c r="C97" s="31"/>
      <c r="D97" s="31"/>
      <c r="E97" s="31"/>
      <c r="F97" s="31"/>
      <c r="G97" s="31"/>
      <c r="H97" s="31"/>
      <c r="I97" s="31"/>
      <c r="J97" s="31"/>
      <c r="K97"/>
      <c r="L97"/>
      <c r="M97"/>
      <c r="N97"/>
      <c r="O97"/>
      <c r="P97"/>
      <c r="Q97"/>
      <c r="R97"/>
      <c r="S97"/>
      <c r="T97"/>
      <c r="U97"/>
    </row>
    <row r="98" spans="2:21" ht="15" customHeight="1" x14ac:dyDescent="0.25">
      <c r="B98" s="31"/>
      <c r="C98" s="31"/>
      <c r="D98" s="31"/>
      <c r="E98" s="31"/>
      <c r="F98" s="31"/>
      <c r="G98" s="31"/>
      <c r="H98" s="31"/>
      <c r="I98" s="31"/>
      <c r="J98" s="31"/>
      <c r="K98"/>
      <c r="L98"/>
      <c r="M98"/>
      <c r="N98"/>
      <c r="O98"/>
      <c r="P98"/>
      <c r="Q98"/>
      <c r="R98"/>
      <c r="S98"/>
      <c r="T98"/>
      <c r="U98"/>
    </row>
    <row r="99" spans="2:21" ht="15" customHeight="1" x14ac:dyDescent="0.25">
      <c r="B99" s="31"/>
      <c r="C99" s="31"/>
      <c r="D99" s="31"/>
      <c r="E99" s="31"/>
      <c r="F99" s="31"/>
      <c r="G99" s="31"/>
      <c r="H99" s="31"/>
      <c r="I99" s="31"/>
      <c r="J99" s="31"/>
      <c r="K99"/>
      <c r="L99"/>
      <c r="M99"/>
      <c r="N99"/>
      <c r="O99"/>
      <c r="P99"/>
      <c r="Q99"/>
      <c r="R99"/>
      <c r="S99"/>
      <c r="T99"/>
      <c r="U99"/>
    </row>
    <row r="100" spans="2:21" ht="15" customHeight="1" x14ac:dyDescent="0.25">
      <c r="B100" s="31"/>
      <c r="C100" s="31"/>
      <c r="D100" s="31"/>
      <c r="E100" s="31"/>
      <c r="F100" s="31"/>
      <c r="G100" s="31"/>
      <c r="H100" s="31"/>
      <c r="I100" s="31"/>
      <c r="J100" s="31"/>
      <c r="K100"/>
      <c r="L100"/>
      <c r="M100"/>
      <c r="N100"/>
      <c r="O100"/>
      <c r="P100"/>
      <c r="Q100"/>
      <c r="R100"/>
      <c r="S100"/>
      <c r="T100"/>
      <c r="U100"/>
    </row>
    <row r="101" spans="2:21" ht="15" customHeight="1" x14ac:dyDescent="0.25">
      <c r="B101" s="31"/>
      <c r="C101" s="31"/>
      <c r="D101" s="31"/>
      <c r="E101" s="31"/>
      <c r="F101" s="31"/>
      <c r="G101" s="31"/>
      <c r="H101" s="31"/>
      <c r="I101" s="31"/>
      <c r="J101" s="31"/>
      <c r="K101"/>
      <c r="L101"/>
      <c r="M101"/>
      <c r="N101"/>
      <c r="O101"/>
      <c r="P101"/>
      <c r="Q101"/>
      <c r="R101"/>
      <c r="S101"/>
      <c r="T101"/>
      <c r="U101"/>
    </row>
  </sheetData>
  <mergeCells count="1">
    <mergeCell ref="H1:I1"/>
  </mergeCells>
  <conditionalFormatting sqref="B1">
    <cfRule type="cellIs" dxfId="47" priority="1" operator="equal">
      <formula>"Incomplete"</formula>
    </cfRule>
    <cfRule type="cellIs" dxfId="46" priority="2" operator="equal">
      <formula>"Flag for Review"</formula>
    </cfRule>
    <cfRule type="cellIs" dxfId="45" priority="3" operator="equal">
      <formula>"Finished"</formula>
    </cfRule>
  </conditionalFormatting>
  <dataValidations count="1">
    <dataValidation type="list" allowBlank="1" showInputMessage="1" showErrorMessage="1" sqref="B1">
      <formula1>"Finished, Flag for Review, Incomplete"</formula1>
    </dataValidation>
  </dataValidations>
  <hyperlinks>
    <hyperlink ref="H1" location="'Point Grid'!A8" display="Return to Point Grid"/>
    <hyperlink ref="H1:I1" location="'Point Grid'!A1" display="Return to Point Grid"/>
  </hyperlink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U101"/>
  <sheetViews>
    <sheetView zoomScaleNormal="100" workbookViewId="0"/>
  </sheetViews>
  <sheetFormatPr defaultColWidth="9.140625" defaultRowHeight="15" x14ac:dyDescent="0.25"/>
  <cols>
    <col min="1" max="1" width="9.140625" style="21"/>
    <col min="2" max="2" width="16" style="21" bestFit="1" customWidth="1"/>
    <col min="3" max="9" width="11.140625" style="21" customWidth="1"/>
    <col min="10" max="16384" width="9.140625" style="21"/>
  </cols>
  <sheetData>
    <row r="1" spans="1:21" x14ac:dyDescent="0.25">
      <c r="A1" s="7">
        <v>16</v>
      </c>
      <c r="B1" s="27" t="s">
        <v>12</v>
      </c>
      <c r="C1" s="20"/>
      <c r="D1" s="20"/>
      <c r="E1" s="20"/>
      <c r="F1" s="20"/>
      <c r="G1" s="20"/>
      <c r="H1" s="384" t="s">
        <v>24</v>
      </c>
      <c r="I1" s="385"/>
      <c r="K1"/>
      <c r="L1"/>
      <c r="M1"/>
      <c r="N1"/>
      <c r="O1"/>
      <c r="P1"/>
      <c r="Q1"/>
      <c r="R1"/>
      <c r="S1"/>
      <c r="T1"/>
      <c r="U1"/>
    </row>
    <row r="2" spans="1:21" x14ac:dyDescent="0.25">
      <c r="A2" s="22"/>
      <c r="B2" s="19"/>
      <c r="C2" s="19"/>
      <c r="D2" s="19"/>
      <c r="E2" s="19"/>
      <c r="F2" s="19"/>
      <c r="G2" s="19"/>
      <c r="H2" s="19"/>
      <c r="I2" s="23"/>
      <c r="K2"/>
      <c r="L2"/>
      <c r="M2"/>
      <c r="N2"/>
      <c r="O2"/>
      <c r="P2"/>
      <c r="Q2"/>
      <c r="R2"/>
      <c r="S2"/>
      <c r="T2"/>
      <c r="U2"/>
    </row>
    <row r="3" spans="1:21" x14ac:dyDescent="0.25">
      <c r="A3" s="8" t="s">
        <v>13</v>
      </c>
      <c r="B3" s="17"/>
      <c r="C3" s="17"/>
      <c r="D3" s="17"/>
      <c r="E3" s="17"/>
      <c r="F3" s="17"/>
      <c r="G3" s="17"/>
      <c r="H3" s="17"/>
      <c r="I3" s="18"/>
      <c r="J3" s="31"/>
      <c r="K3"/>
      <c r="L3"/>
      <c r="M3"/>
      <c r="N3"/>
      <c r="O3"/>
      <c r="P3"/>
      <c r="Q3"/>
      <c r="R3"/>
      <c r="S3"/>
      <c r="T3"/>
      <c r="U3"/>
    </row>
    <row r="4" spans="1:21" x14ac:dyDescent="0.25">
      <c r="A4" s="9">
        <f>INDEX('Point Grid'!B:B,MATCH(A1,'Point Grid'!A:A,0))</f>
        <v>2.5</v>
      </c>
      <c r="B4" s="17"/>
      <c r="C4" s="17"/>
      <c r="D4" s="17"/>
      <c r="E4" s="17"/>
      <c r="F4" s="17"/>
      <c r="G4" s="17"/>
      <c r="H4" s="17"/>
      <c r="I4" s="18"/>
      <c r="J4" s="31"/>
      <c r="K4"/>
      <c r="L4"/>
      <c r="M4"/>
      <c r="N4"/>
      <c r="O4"/>
      <c r="P4"/>
      <c r="Q4"/>
      <c r="R4"/>
      <c r="S4"/>
      <c r="T4"/>
      <c r="U4"/>
    </row>
    <row r="5" spans="1:21" x14ac:dyDescent="0.25">
      <c r="A5" s="16"/>
      <c r="B5" s="17"/>
      <c r="C5" s="17"/>
      <c r="D5" s="17"/>
      <c r="E5" s="17"/>
      <c r="F5" s="17"/>
      <c r="G5" s="17"/>
      <c r="H5" s="17"/>
      <c r="I5" s="18"/>
      <c r="J5" s="31"/>
      <c r="K5"/>
      <c r="L5"/>
      <c r="M5"/>
      <c r="N5"/>
      <c r="O5"/>
      <c r="P5"/>
      <c r="Q5"/>
      <c r="R5"/>
      <c r="S5"/>
      <c r="T5"/>
      <c r="U5"/>
    </row>
    <row r="6" spans="1:21" x14ac:dyDescent="0.25">
      <c r="A6" s="25" t="s">
        <v>2</v>
      </c>
      <c r="B6" s="17" t="s">
        <v>201</v>
      </c>
      <c r="C6" s="17"/>
      <c r="D6" s="17"/>
      <c r="E6" s="17"/>
      <c r="F6" s="17"/>
      <c r="G6" s="17"/>
      <c r="H6" s="17"/>
      <c r="I6" s="18"/>
      <c r="J6" s="31"/>
      <c r="K6"/>
      <c r="L6"/>
      <c r="M6"/>
      <c r="N6"/>
      <c r="O6"/>
      <c r="P6"/>
      <c r="Q6"/>
      <c r="R6"/>
      <c r="S6"/>
      <c r="T6"/>
      <c r="U6"/>
    </row>
    <row r="7" spans="1:21" ht="15.75" thickBot="1" x14ac:dyDescent="0.3">
      <c r="A7" s="9">
        <f>INDEX('Point Grid'!$C$8:$I$54,MATCH($A$1,'Point Grid'!$A$8:$A$54,0),MATCH(A6,'Point Grid'!$C$7:$I$7,0))</f>
        <v>0.25</v>
      </c>
      <c r="B7" s="17"/>
      <c r="C7" s="17"/>
      <c r="D7" s="17"/>
      <c r="E7" s="17"/>
      <c r="F7" s="17"/>
      <c r="G7" s="17"/>
      <c r="H7" s="17"/>
      <c r="I7" s="18"/>
      <c r="J7" s="31"/>
      <c r="K7"/>
      <c r="L7"/>
      <c r="M7"/>
      <c r="N7"/>
      <c r="O7"/>
      <c r="P7"/>
      <c r="Q7"/>
      <c r="R7"/>
      <c r="S7"/>
      <c r="T7"/>
      <c r="U7"/>
    </row>
    <row r="8" spans="1:21" ht="15.75" thickBot="1" x14ac:dyDescent="0.3">
      <c r="A8" s="5"/>
      <c r="B8" s="17"/>
      <c r="C8" s="28"/>
      <c r="D8" s="28"/>
      <c r="E8" s="28"/>
      <c r="F8" s="28"/>
      <c r="G8" s="28"/>
      <c r="H8" s="28"/>
      <c r="I8" s="18"/>
      <c r="J8" s="31"/>
      <c r="K8"/>
      <c r="L8"/>
      <c r="M8"/>
      <c r="N8"/>
      <c r="O8"/>
      <c r="P8"/>
      <c r="Q8"/>
      <c r="R8"/>
      <c r="S8"/>
      <c r="T8"/>
      <c r="U8"/>
    </row>
    <row r="9" spans="1:21" x14ac:dyDescent="0.25">
      <c r="A9" s="25"/>
      <c r="B9" s="17"/>
      <c r="C9" s="17"/>
      <c r="D9" s="17"/>
      <c r="E9" s="17"/>
      <c r="F9" s="17"/>
      <c r="G9" s="17"/>
      <c r="H9" s="17"/>
      <c r="I9" s="18"/>
      <c r="J9" s="31"/>
      <c r="K9"/>
      <c r="L9"/>
      <c r="M9"/>
      <c r="N9"/>
      <c r="O9"/>
      <c r="P9"/>
      <c r="Q9"/>
      <c r="R9"/>
      <c r="S9"/>
      <c r="T9"/>
      <c r="U9"/>
    </row>
    <row r="10" spans="1:21" x14ac:dyDescent="0.25">
      <c r="A10" s="25" t="s">
        <v>3</v>
      </c>
      <c r="B10" s="17" t="s">
        <v>205</v>
      </c>
      <c r="C10" s="17"/>
      <c r="D10" s="17"/>
      <c r="E10" s="17"/>
      <c r="F10" s="17"/>
      <c r="G10" s="17"/>
      <c r="H10" s="17"/>
      <c r="I10" s="18"/>
      <c r="J10" s="31"/>
      <c r="K10"/>
      <c r="L10"/>
      <c r="M10"/>
      <c r="N10"/>
      <c r="O10"/>
      <c r="P10"/>
      <c r="Q10"/>
      <c r="R10"/>
      <c r="S10"/>
      <c r="T10"/>
      <c r="U10"/>
    </row>
    <row r="11" spans="1:21" ht="15.75" thickBot="1" x14ac:dyDescent="0.3">
      <c r="A11" s="9">
        <f>INDEX('Point Grid'!$C$8:$I$54,MATCH($A$1,'Point Grid'!$A$8:$A$54,0),MATCH(A10,'Point Grid'!$C$7:$I$7,0))</f>
        <v>0.5</v>
      </c>
      <c r="B11" s="17"/>
      <c r="C11" s="17"/>
      <c r="D11" s="17"/>
      <c r="E11" s="17"/>
      <c r="F11" s="17"/>
      <c r="G11" s="17"/>
      <c r="H11" s="17"/>
      <c r="I11" s="18"/>
      <c r="J11" s="31"/>
      <c r="K11"/>
      <c r="L11"/>
      <c r="M11"/>
      <c r="N11"/>
      <c r="O11"/>
      <c r="P11"/>
      <c r="Q11"/>
      <c r="R11"/>
      <c r="S11"/>
      <c r="T11"/>
      <c r="U11"/>
    </row>
    <row r="12" spans="1:21" ht="15.75" thickBot="1" x14ac:dyDescent="0.3">
      <c r="A12" s="5"/>
      <c r="B12" s="17"/>
      <c r="C12" s="28"/>
      <c r="D12" s="28"/>
      <c r="E12" s="28"/>
      <c r="F12" s="28"/>
      <c r="G12" s="28"/>
      <c r="H12" s="28"/>
      <c r="I12" s="18"/>
      <c r="J12" s="31"/>
      <c r="K12"/>
      <c r="L12"/>
      <c r="M12"/>
      <c r="N12"/>
      <c r="O12"/>
      <c r="P12"/>
      <c r="Q12"/>
      <c r="R12"/>
      <c r="S12"/>
      <c r="T12"/>
      <c r="U12"/>
    </row>
    <row r="13" spans="1:21" x14ac:dyDescent="0.25">
      <c r="A13" s="25"/>
      <c r="B13" s="17"/>
      <c r="C13" s="28"/>
      <c r="D13" s="28"/>
      <c r="E13" s="28"/>
      <c r="F13" s="28"/>
      <c r="G13" s="28"/>
      <c r="H13" s="28"/>
      <c r="I13" s="18"/>
      <c r="J13" s="31"/>
      <c r="K13"/>
      <c r="L13"/>
      <c r="M13"/>
      <c r="N13"/>
      <c r="O13"/>
      <c r="P13"/>
      <c r="Q13"/>
      <c r="R13"/>
      <c r="S13"/>
      <c r="T13"/>
      <c r="U13"/>
    </row>
    <row r="14" spans="1:21" x14ac:dyDescent="0.25">
      <c r="A14" s="25" t="s">
        <v>4</v>
      </c>
      <c r="B14" s="17" t="s">
        <v>202</v>
      </c>
      <c r="C14" s="17"/>
      <c r="D14" s="17"/>
      <c r="E14" s="17"/>
      <c r="F14" s="17"/>
      <c r="G14" s="17"/>
      <c r="H14" s="17"/>
      <c r="I14" s="18"/>
      <c r="J14" s="31"/>
      <c r="K14"/>
      <c r="L14"/>
      <c r="M14"/>
      <c r="N14"/>
      <c r="O14"/>
      <c r="P14"/>
      <c r="Q14"/>
      <c r="R14"/>
      <c r="S14"/>
      <c r="T14"/>
      <c r="U14"/>
    </row>
    <row r="15" spans="1:21" ht="15.75" thickBot="1" x14ac:dyDescent="0.3">
      <c r="A15" s="9">
        <f>INDEX('Point Grid'!$C$8:$I$54,MATCH($A$1,'Point Grid'!$A$8:$A$54,0),MATCH(A14,'Point Grid'!$C$7:$I$7,0))</f>
        <v>0.75</v>
      </c>
      <c r="B15" s="17" t="s">
        <v>203</v>
      </c>
      <c r="C15" s="17"/>
      <c r="D15" s="17"/>
      <c r="E15" s="17"/>
      <c r="F15" s="17"/>
      <c r="G15" s="17"/>
      <c r="H15" s="17"/>
      <c r="I15" s="18"/>
      <c r="J15" s="31"/>
      <c r="K15"/>
      <c r="L15"/>
      <c r="M15"/>
      <c r="N15"/>
      <c r="O15"/>
      <c r="P15"/>
      <c r="Q15"/>
      <c r="R15"/>
      <c r="S15"/>
      <c r="T15"/>
      <c r="U15"/>
    </row>
    <row r="16" spans="1:21" ht="15.75" thickBot="1" x14ac:dyDescent="0.3">
      <c r="A16" s="5"/>
      <c r="B16" s="17" t="s">
        <v>204</v>
      </c>
      <c r="C16" s="17"/>
      <c r="D16" s="17"/>
      <c r="E16" s="17"/>
      <c r="F16" s="17"/>
      <c r="G16" s="17"/>
      <c r="H16" s="17"/>
      <c r="I16" s="18"/>
      <c r="J16" s="31"/>
      <c r="K16"/>
      <c r="L16"/>
      <c r="M16"/>
      <c r="N16"/>
      <c r="O16"/>
      <c r="P16"/>
      <c r="Q16"/>
      <c r="R16"/>
      <c r="S16"/>
      <c r="T16"/>
      <c r="U16"/>
    </row>
    <row r="17" spans="1:21" x14ac:dyDescent="0.25">
      <c r="A17" s="22"/>
      <c r="B17" s="17"/>
      <c r="C17" s="17"/>
      <c r="D17" s="17"/>
      <c r="E17" s="17"/>
      <c r="F17" s="17"/>
      <c r="G17" s="17"/>
      <c r="H17" s="17"/>
      <c r="I17" s="18"/>
      <c r="J17" s="31"/>
      <c r="K17"/>
      <c r="L17"/>
      <c r="M17"/>
      <c r="N17"/>
      <c r="O17"/>
      <c r="P17"/>
      <c r="Q17"/>
      <c r="R17"/>
      <c r="S17"/>
      <c r="T17"/>
      <c r="U17"/>
    </row>
    <row r="18" spans="1:21" ht="15" customHeight="1" x14ac:dyDescent="0.25">
      <c r="A18" s="25" t="s">
        <v>5</v>
      </c>
      <c r="B18" s="96" t="s">
        <v>206</v>
      </c>
      <c r="C18" s="96"/>
      <c r="D18" s="96"/>
      <c r="E18" s="96"/>
      <c r="F18" s="96"/>
      <c r="G18" s="96"/>
      <c r="H18" s="96"/>
      <c r="I18" s="18"/>
      <c r="J18" s="31"/>
      <c r="K18"/>
      <c r="L18"/>
      <c r="M18"/>
      <c r="N18"/>
      <c r="O18"/>
      <c r="P18"/>
      <c r="Q18"/>
      <c r="R18"/>
      <c r="S18"/>
      <c r="T18"/>
      <c r="U18"/>
    </row>
    <row r="19" spans="1:21" ht="15" customHeight="1" thickBot="1" x14ac:dyDescent="0.3">
      <c r="A19" s="9">
        <f>INDEX('Point Grid'!$C$8:$I$54,MATCH($A$1,'Point Grid'!$A$8:$A$54,0),MATCH(A18,'Point Grid'!$C$7:$I$7,0))</f>
        <v>1</v>
      </c>
      <c r="B19" s="96"/>
      <c r="C19" s="96"/>
      <c r="D19" s="96"/>
      <c r="E19" s="96"/>
      <c r="F19" s="96"/>
      <c r="G19" s="96"/>
      <c r="H19" s="96"/>
      <c r="I19" s="18"/>
      <c r="J19" s="31"/>
      <c r="K19"/>
      <c r="L19"/>
      <c r="M19"/>
      <c r="N19"/>
      <c r="O19"/>
      <c r="P19"/>
      <c r="Q19"/>
      <c r="R19"/>
      <c r="S19"/>
      <c r="T19"/>
      <c r="U19"/>
    </row>
    <row r="20" spans="1:21" ht="15" customHeight="1" thickBot="1" x14ac:dyDescent="0.3">
      <c r="A20" s="5"/>
      <c r="B20" s="89"/>
      <c r="C20" s="92" t="s">
        <v>207</v>
      </c>
      <c r="D20" s="94"/>
      <c r="E20" s="94">
        <v>410000</v>
      </c>
      <c r="F20" s="96"/>
      <c r="G20" s="96"/>
      <c r="H20" s="96"/>
      <c r="I20" s="18"/>
      <c r="J20" s="31"/>
      <c r="K20"/>
      <c r="L20"/>
      <c r="M20"/>
      <c r="N20"/>
      <c r="O20"/>
      <c r="P20"/>
      <c r="Q20"/>
      <c r="R20"/>
      <c r="S20"/>
      <c r="T20"/>
      <c r="U20"/>
    </row>
    <row r="21" spans="1:21" ht="15" customHeight="1" x14ac:dyDescent="0.25">
      <c r="A21" s="22"/>
      <c r="B21" s="89"/>
      <c r="C21" s="104" t="s">
        <v>208</v>
      </c>
      <c r="D21" s="106"/>
      <c r="E21" s="106">
        <v>217300</v>
      </c>
      <c r="F21" s="96"/>
      <c r="G21" s="96"/>
      <c r="H21" s="96"/>
      <c r="I21" s="18"/>
      <c r="J21" s="31"/>
      <c r="K21"/>
      <c r="L21"/>
      <c r="M21"/>
      <c r="N21"/>
      <c r="O21"/>
      <c r="P21"/>
      <c r="Q21"/>
      <c r="R21"/>
      <c r="S21"/>
      <c r="T21"/>
      <c r="U21"/>
    </row>
    <row r="22" spans="1:21" ht="15" customHeight="1" x14ac:dyDescent="0.25">
      <c r="A22" s="22"/>
      <c r="B22" s="89"/>
      <c r="C22" s="104" t="s">
        <v>209</v>
      </c>
      <c r="D22" s="106"/>
      <c r="E22" s="138">
        <v>0.02</v>
      </c>
      <c r="F22" s="190"/>
      <c r="G22" s="96"/>
      <c r="H22" s="96"/>
      <c r="I22" s="18"/>
      <c r="J22" s="31"/>
      <c r="K22"/>
      <c r="L22"/>
      <c r="M22"/>
      <c r="N22"/>
      <c r="O22"/>
      <c r="P22"/>
      <c r="Q22"/>
      <c r="R22"/>
      <c r="S22"/>
      <c r="T22"/>
      <c r="U22"/>
    </row>
    <row r="23" spans="1:21" ht="15" customHeight="1" x14ac:dyDescent="0.25">
      <c r="A23" s="22"/>
      <c r="B23" s="96"/>
      <c r="C23" s="96"/>
      <c r="D23" s="96"/>
      <c r="E23" s="96"/>
      <c r="F23" s="96"/>
      <c r="G23" s="96"/>
      <c r="H23" s="96"/>
      <c r="I23" s="18"/>
      <c r="J23" s="31"/>
      <c r="K23"/>
      <c r="L23"/>
      <c r="M23"/>
      <c r="N23"/>
      <c r="O23"/>
      <c r="P23"/>
      <c r="Q23"/>
      <c r="R23"/>
      <c r="S23"/>
      <c r="T23"/>
      <c r="U23"/>
    </row>
    <row r="24" spans="1:21" ht="15" customHeight="1" x14ac:dyDescent="0.25">
      <c r="A24" s="22"/>
      <c r="B24" s="96" t="s">
        <v>210</v>
      </c>
      <c r="C24" s="96"/>
      <c r="D24" s="96"/>
      <c r="E24" s="96"/>
      <c r="F24" s="96"/>
      <c r="G24" s="96"/>
      <c r="H24" s="96"/>
      <c r="I24" s="18"/>
      <c r="J24" s="31"/>
      <c r="K24"/>
      <c r="L24"/>
      <c r="M24"/>
      <c r="N24"/>
      <c r="O24"/>
      <c r="P24"/>
      <c r="Q24"/>
      <c r="R24"/>
      <c r="S24"/>
      <c r="T24"/>
      <c r="U24"/>
    </row>
    <row r="25" spans="1:21" ht="15" customHeight="1" x14ac:dyDescent="0.25">
      <c r="A25" s="22"/>
      <c r="B25" s="17"/>
      <c r="C25" s="17"/>
      <c r="D25" s="17"/>
      <c r="E25" s="17"/>
      <c r="F25" s="17"/>
      <c r="G25" s="17"/>
      <c r="H25" s="17"/>
      <c r="I25" s="18"/>
      <c r="J25" s="31"/>
      <c r="K25"/>
      <c r="L25"/>
      <c r="M25"/>
      <c r="N25"/>
      <c r="O25"/>
      <c r="P25"/>
      <c r="Q25"/>
      <c r="R25"/>
      <c r="S25"/>
      <c r="T25"/>
      <c r="U25"/>
    </row>
    <row r="26" spans="1:21" ht="15" customHeight="1" x14ac:dyDescent="0.25">
      <c r="A26" s="22"/>
      <c r="B26" s="17"/>
      <c r="C26" s="17"/>
      <c r="D26" s="17"/>
      <c r="E26" s="17"/>
      <c r="F26" s="17"/>
      <c r="G26" s="17"/>
      <c r="H26" s="17"/>
      <c r="I26" s="18"/>
      <c r="J26" s="31"/>
      <c r="K26"/>
      <c r="L26"/>
      <c r="M26"/>
      <c r="N26"/>
      <c r="O26"/>
      <c r="P26"/>
      <c r="Q26"/>
      <c r="R26"/>
      <c r="S26"/>
      <c r="T26"/>
      <c r="U26"/>
    </row>
    <row r="27" spans="1:21" ht="15" customHeight="1" x14ac:dyDescent="0.25">
      <c r="A27" s="22"/>
      <c r="B27" s="17"/>
      <c r="C27" s="17"/>
      <c r="D27" s="17"/>
      <c r="E27" s="17"/>
      <c r="F27" s="17"/>
      <c r="G27" s="17"/>
      <c r="H27" s="17"/>
      <c r="I27" s="18"/>
      <c r="J27" s="31"/>
      <c r="K27"/>
      <c r="L27"/>
      <c r="M27"/>
      <c r="N27"/>
      <c r="O27"/>
      <c r="P27"/>
      <c r="Q27"/>
      <c r="R27"/>
      <c r="S27"/>
      <c r="T27"/>
      <c r="U27"/>
    </row>
    <row r="28" spans="1:21" ht="15" customHeight="1" x14ac:dyDescent="0.25">
      <c r="A28" s="22"/>
      <c r="B28" s="17"/>
      <c r="C28" s="17"/>
      <c r="D28" s="17"/>
      <c r="E28" s="17"/>
      <c r="F28" s="17"/>
      <c r="G28" s="17"/>
      <c r="H28" s="17"/>
      <c r="I28" s="18"/>
      <c r="J28" s="31"/>
      <c r="K28"/>
      <c r="L28"/>
      <c r="M28"/>
      <c r="N28"/>
      <c r="O28"/>
      <c r="P28"/>
      <c r="Q28"/>
      <c r="R28"/>
      <c r="S28"/>
      <c r="T28"/>
      <c r="U28"/>
    </row>
    <row r="29" spans="1:21" ht="15" customHeight="1" x14ac:dyDescent="0.25">
      <c r="A29" s="22"/>
      <c r="B29" s="17"/>
      <c r="C29" s="17"/>
      <c r="D29" s="17"/>
      <c r="E29" s="17"/>
      <c r="F29" s="17"/>
      <c r="G29" s="17"/>
      <c r="H29" s="17"/>
      <c r="I29" s="18"/>
      <c r="J29" s="31"/>
      <c r="K29"/>
      <c r="L29"/>
      <c r="M29"/>
      <c r="N29"/>
      <c r="O29"/>
      <c r="P29"/>
      <c r="Q29"/>
      <c r="R29"/>
      <c r="S29"/>
      <c r="T29"/>
      <c r="U29"/>
    </row>
    <row r="30" spans="1:21" ht="15" customHeight="1" thickBot="1" x14ac:dyDescent="0.3">
      <c r="A30" s="24"/>
      <c r="B30" s="32"/>
      <c r="C30" s="32"/>
      <c r="D30" s="32"/>
      <c r="E30" s="32"/>
      <c r="F30" s="32"/>
      <c r="G30" s="32"/>
      <c r="H30" s="32"/>
      <c r="I30" s="33"/>
      <c r="J30" s="31"/>
      <c r="K30"/>
      <c r="L30"/>
      <c r="M30"/>
      <c r="N30"/>
      <c r="O30"/>
      <c r="P30"/>
      <c r="Q30"/>
      <c r="R30"/>
      <c r="S30"/>
      <c r="T30"/>
      <c r="U30"/>
    </row>
    <row r="31" spans="1:21" ht="15" customHeight="1" x14ac:dyDescent="0.25">
      <c r="B31" s="31"/>
      <c r="C31" s="31"/>
      <c r="D31" s="31"/>
      <c r="E31" s="31"/>
      <c r="F31" s="31"/>
      <c r="G31" s="31"/>
      <c r="H31" s="31"/>
      <c r="I31" s="31"/>
      <c r="J31" s="31"/>
      <c r="K31"/>
      <c r="L31"/>
      <c r="M31"/>
      <c r="N31"/>
      <c r="O31"/>
      <c r="P31"/>
      <c r="Q31"/>
      <c r="R31"/>
      <c r="S31"/>
      <c r="T31"/>
      <c r="U31"/>
    </row>
    <row r="32" spans="1:21" ht="15" customHeight="1" x14ac:dyDescent="0.25">
      <c r="J32" s="31"/>
      <c r="K32"/>
      <c r="L32"/>
      <c r="M32"/>
      <c r="N32"/>
      <c r="O32"/>
      <c r="P32"/>
      <c r="Q32"/>
      <c r="R32"/>
      <c r="S32"/>
      <c r="T32"/>
      <c r="U32"/>
    </row>
    <row r="33" spans="2:21" ht="15" customHeight="1" x14ac:dyDescent="0.25">
      <c r="J33" s="31"/>
      <c r="K33"/>
      <c r="L33"/>
      <c r="M33"/>
      <c r="N33"/>
      <c r="O33"/>
      <c r="P33"/>
      <c r="Q33"/>
      <c r="R33"/>
      <c r="S33"/>
      <c r="T33"/>
      <c r="U33"/>
    </row>
    <row r="34" spans="2:21" ht="15" customHeight="1" x14ac:dyDescent="0.25">
      <c r="J34" s="31"/>
      <c r="K34"/>
      <c r="L34"/>
      <c r="M34"/>
      <c r="N34"/>
      <c r="O34"/>
      <c r="P34"/>
      <c r="Q34"/>
      <c r="R34"/>
      <c r="S34"/>
      <c r="T34"/>
      <c r="U34"/>
    </row>
    <row r="35" spans="2:21" ht="15" customHeight="1" x14ac:dyDescent="0.25">
      <c r="J35" s="31"/>
      <c r="K35"/>
      <c r="L35"/>
      <c r="M35"/>
      <c r="N35"/>
      <c r="O35"/>
      <c r="P35"/>
      <c r="Q35"/>
      <c r="R35"/>
      <c r="S35"/>
      <c r="T35"/>
      <c r="U35"/>
    </row>
    <row r="36" spans="2:21" ht="15" customHeight="1" x14ac:dyDescent="0.25">
      <c r="J36" s="31"/>
      <c r="K36"/>
      <c r="L36"/>
      <c r="M36"/>
      <c r="N36"/>
      <c r="O36"/>
      <c r="P36"/>
      <c r="Q36"/>
      <c r="R36"/>
      <c r="S36"/>
      <c r="T36"/>
      <c r="U36"/>
    </row>
    <row r="37" spans="2:21" ht="15" customHeight="1" x14ac:dyDescent="0.25">
      <c r="J37" s="31"/>
      <c r="K37"/>
      <c r="L37"/>
      <c r="M37"/>
      <c r="N37"/>
      <c r="O37"/>
      <c r="P37"/>
      <c r="Q37"/>
      <c r="R37"/>
      <c r="S37"/>
      <c r="T37"/>
      <c r="U37"/>
    </row>
    <row r="38" spans="2:21" ht="15" customHeight="1" x14ac:dyDescent="0.25">
      <c r="J38" s="31"/>
      <c r="K38"/>
      <c r="L38"/>
      <c r="M38"/>
      <c r="N38"/>
      <c r="O38"/>
      <c r="P38"/>
      <c r="Q38"/>
      <c r="R38"/>
      <c r="S38"/>
      <c r="T38"/>
      <c r="U38"/>
    </row>
    <row r="39" spans="2:21" ht="15" customHeight="1" x14ac:dyDescent="0.25">
      <c r="J39" s="31"/>
      <c r="K39"/>
      <c r="L39"/>
      <c r="M39"/>
      <c r="N39"/>
      <c r="O39"/>
      <c r="P39"/>
      <c r="Q39"/>
      <c r="R39"/>
      <c r="S39"/>
      <c r="T39"/>
      <c r="U39"/>
    </row>
    <row r="40" spans="2:21" ht="15" customHeight="1" x14ac:dyDescent="0.25">
      <c r="J40" s="31"/>
      <c r="K40"/>
      <c r="L40"/>
      <c r="M40"/>
      <c r="N40"/>
      <c r="O40"/>
      <c r="P40"/>
      <c r="Q40"/>
      <c r="R40"/>
      <c r="S40"/>
      <c r="T40"/>
      <c r="U40"/>
    </row>
    <row r="41" spans="2:21" ht="15" customHeight="1" x14ac:dyDescent="0.25">
      <c r="J41" s="31"/>
      <c r="K41"/>
      <c r="L41"/>
      <c r="M41"/>
      <c r="N41"/>
      <c r="O41"/>
      <c r="P41"/>
      <c r="Q41"/>
      <c r="R41"/>
      <c r="S41"/>
      <c r="T41"/>
      <c r="U41"/>
    </row>
    <row r="42" spans="2:21" ht="15" customHeight="1" x14ac:dyDescent="0.25">
      <c r="J42" s="31"/>
      <c r="K42"/>
      <c r="L42"/>
      <c r="M42"/>
      <c r="N42"/>
      <c r="O42"/>
      <c r="P42"/>
      <c r="Q42"/>
      <c r="R42"/>
      <c r="S42"/>
      <c r="T42"/>
      <c r="U42"/>
    </row>
    <row r="43" spans="2:21" ht="15" customHeight="1" x14ac:dyDescent="0.25">
      <c r="J43" s="31"/>
      <c r="K43"/>
      <c r="L43"/>
      <c r="M43"/>
      <c r="N43"/>
      <c r="O43"/>
      <c r="P43"/>
      <c r="Q43"/>
      <c r="R43"/>
      <c r="S43"/>
      <c r="T43"/>
      <c r="U43"/>
    </row>
    <row r="44" spans="2:21" ht="15" customHeight="1" x14ac:dyDescent="0.25">
      <c r="J44" s="31"/>
      <c r="K44"/>
      <c r="L44"/>
      <c r="M44"/>
      <c r="N44"/>
      <c r="O44"/>
      <c r="P44"/>
      <c r="Q44"/>
      <c r="R44"/>
      <c r="S44"/>
      <c r="T44"/>
      <c r="U44"/>
    </row>
    <row r="45" spans="2:21" ht="15" customHeight="1" x14ac:dyDescent="0.25">
      <c r="J45" s="31"/>
      <c r="K45"/>
      <c r="L45"/>
      <c r="M45"/>
      <c r="N45"/>
      <c r="O45"/>
      <c r="P45"/>
      <c r="Q45"/>
      <c r="R45"/>
      <c r="S45"/>
      <c r="T45"/>
      <c r="U45"/>
    </row>
    <row r="46" spans="2:21" ht="15" customHeight="1" x14ac:dyDescent="0.25">
      <c r="B46" s="31"/>
      <c r="C46" s="31"/>
      <c r="D46" s="31"/>
      <c r="E46" s="31"/>
      <c r="F46" s="31"/>
      <c r="G46" s="31"/>
      <c r="H46" s="31"/>
      <c r="I46" s="31"/>
      <c r="J46" s="31"/>
      <c r="K46"/>
      <c r="L46"/>
      <c r="M46"/>
      <c r="N46"/>
      <c r="O46"/>
      <c r="P46"/>
      <c r="Q46"/>
      <c r="R46"/>
      <c r="S46"/>
      <c r="T46"/>
      <c r="U46"/>
    </row>
    <row r="47" spans="2:21" ht="15" customHeight="1" x14ac:dyDescent="0.25">
      <c r="B47" s="31"/>
      <c r="C47" s="31"/>
      <c r="D47" s="31"/>
      <c r="E47" s="31"/>
      <c r="F47" s="31"/>
      <c r="G47" s="31"/>
      <c r="H47" s="31"/>
      <c r="I47" s="31"/>
      <c r="J47" s="31"/>
      <c r="K47"/>
      <c r="L47"/>
      <c r="M47"/>
      <c r="N47"/>
      <c r="O47"/>
      <c r="P47"/>
      <c r="Q47"/>
      <c r="R47"/>
      <c r="S47"/>
      <c r="T47"/>
      <c r="U47"/>
    </row>
    <row r="48" spans="2:21" ht="15" customHeight="1" x14ac:dyDescent="0.25">
      <c r="B48" s="31"/>
      <c r="C48" s="31"/>
      <c r="D48" s="31"/>
      <c r="E48" s="31"/>
      <c r="F48" s="31"/>
      <c r="G48" s="31"/>
      <c r="H48" s="31"/>
      <c r="I48" s="31"/>
      <c r="J48" s="31"/>
      <c r="K48"/>
      <c r="L48"/>
      <c r="M48"/>
      <c r="N48"/>
      <c r="O48"/>
      <c r="P48"/>
      <c r="Q48"/>
      <c r="R48"/>
      <c r="S48"/>
      <c r="T48"/>
      <c r="U48"/>
    </row>
    <row r="49" spans="2:21" ht="15" customHeight="1" x14ac:dyDescent="0.25">
      <c r="B49" s="31"/>
      <c r="C49" s="31"/>
      <c r="D49" s="31"/>
      <c r="E49" s="31"/>
      <c r="F49" s="31"/>
      <c r="G49" s="31"/>
      <c r="H49" s="31"/>
      <c r="I49" s="31"/>
      <c r="J49" s="31"/>
      <c r="K49"/>
      <c r="L49"/>
      <c r="M49"/>
      <c r="N49"/>
      <c r="O49"/>
      <c r="P49"/>
      <c r="Q49"/>
      <c r="R49"/>
      <c r="S49"/>
      <c r="T49"/>
      <c r="U49"/>
    </row>
    <row r="50" spans="2:21" ht="15" customHeight="1" x14ac:dyDescent="0.25">
      <c r="B50" s="31"/>
      <c r="C50" s="31"/>
      <c r="D50" s="31"/>
      <c r="E50" s="31"/>
      <c r="F50" s="31"/>
      <c r="G50" s="31"/>
      <c r="H50" s="31"/>
      <c r="I50" s="31"/>
      <c r="J50" s="31"/>
      <c r="K50"/>
      <c r="L50"/>
      <c r="M50"/>
      <c r="N50"/>
      <c r="O50"/>
      <c r="P50"/>
      <c r="Q50"/>
      <c r="R50"/>
      <c r="S50"/>
      <c r="T50"/>
      <c r="U50"/>
    </row>
    <row r="51" spans="2:21" ht="15" customHeight="1" x14ac:dyDescent="0.25">
      <c r="B51" s="31"/>
      <c r="C51" s="31"/>
      <c r="D51" s="31"/>
      <c r="E51" s="31"/>
      <c r="F51" s="31"/>
      <c r="G51" s="31"/>
      <c r="H51" s="31"/>
      <c r="I51" s="31"/>
      <c r="J51" s="31"/>
      <c r="K51"/>
      <c r="L51"/>
      <c r="M51"/>
      <c r="N51"/>
      <c r="O51"/>
      <c r="P51"/>
      <c r="Q51"/>
      <c r="R51"/>
      <c r="S51"/>
      <c r="T51"/>
      <c r="U51"/>
    </row>
    <row r="52" spans="2:21" ht="15" customHeight="1" x14ac:dyDescent="0.25">
      <c r="B52" s="31"/>
      <c r="C52" s="31"/>
      <c r="D52" s="31"/>
      <c r="E52" s="31"/>
      <c r="F52" s="31"/>
      <c r="G52" s="31"/>
      <c r="H52" s="31"/>
      <c r="I52" s="31"/>
      <c r="J52" s="31"/>
      <c r="K52"/>
      <c r="L52"/>
      <c r="M52"/>
      <c r="N52"/>
      <c r="O52"/>
      <c r="P52"/>
      <c r="Q52"/>
      <c r="R52"/>
      <c r="S52"/>
      <c r="T52"/>
      <c r="U52"/>
    </row>
    <row r="53" spans="2:21" ht="15" customHeight="1" x14ac:dyDescent="0.25">
      <c r="B53" s="31"/>
      <c r="C53" s="31"/>
      <c r="D53" s="31"/>
      <c r="E53" s="31"/>
      <c r="F53" s="31"/>
      <c r="G53" s="31"/>
      <c r="H53" s="31"/>
      <c r="I53" s="31"/>
      <c r="J53" s="31"/>
      <c r="K53"/>
      <c r="L53"/>
      <c r="M53"/>
      <c r="N53"/>
      <c r="O53"/>
      <c r="P53"/>
      <c r="Q53"/>
      <c r="R53"/>
      <c r="S53"/>
      <c r="T53"/>
      <c r="U53"/>
    </row>
    <row r="54" spans="2:21" ht="15" customHeight="1" x14ac:dyDescent="0.25">
      <c r="B54" s="31"/>
      <c r="C54" s="31"/>
      <c r="D54" s="31"/>
      <c r="E54" s="31"/>
      <c r="F54" s="31"/>
      <c r="G54" s="31"/>
      <c r="H54" s="31"/>
      <c r="I54" s="31"/>
      <c r="J54" s="31"/>
      <c r="K54"/>
      <c r="L54"/>
      <c r="M54"/>
      <c r="N54"/>
      <c r="O54"/>
      <c r="P54"/>
      <c r="Q54"/>
      <c r="R54"/>
      <c r="S54"/>
      <c r="T54"/>
      <c r="U54"/>
    </row>
    <row r="55" spans="2:21" ht="15" customHeight="1" x14ac:dyDescent="0.25">
      <c r="B55" s="31"/>
      <c r="C55" s="31"/>
      <c r="D55" s="31"/>
      <c r="E55" s="31"/>
      <c r="F55" s="31"/>
      <c r="G55" s="31"/>
      <c r="H55" s="31"/>
      <c r="I55" s="31"/>
      <c r="J55" s="31"/>
      <c r="K55"/>
      <c r="L55"/>
      <c r="M55"/>
      <c r="N55"/>
      <c r="O55"/>
      <c r="P55"/>
      <c r="Q55"/>
      <c r="R55"/>
      <c r="S55"/>
      <c r="T55"/>
      <c r="U55"/>
    </row>
    <row r="56" spans="2:21" ht="15" customHeight="1" x14ac:dyDescent="0.25">
      <c r="B56" s="31"/>
      <c r="C56" s="31"/>
      <c r="D56" s="31"/>
      <c r="E56" s="31"/>
      <c r="F56" s="31"/>
      <c r="G56" s="31"/>
      <c r="H56" s="31"/>
      <c r="I56" s="31"/>
      <c r="J56" s="31"/>
      <c r="K56"/>
      <c r="L56"/>
      <c r="M56"/>
      <c r="N56"/>
      <c r="O56"/>
      <c r="P56"/>
      <c r="Q56"/>
      <c r="R56"/>
      <c r="S56"/>
      <c r="T56"/>
      <c r="U56"/>
    </row>
    <row r="57" spans="2:21" ht="15" customHeight="1" x14ac:dyDescent="0.25">
      <c r="B57" s="31"/>
      <c r="C57" s="31"/>
      <c r="D57" s="31"/>
      <c r="E57" s="31"/>
      <c r="F57" s="31"/>
      <c r="G57" s="31"/>
      <c r="H57" s="31"/>
      <c r="I57" s="31"/>
      <c r="J57" s="31"/>
      <c r="K57"/>
      <c r="L57"/>
      <c r="M57"/>
      <c r="N57"/>
      <c r="O57"/>
      <c r="P57"/>
      <c r="Q57"/>
      <c r="R57"/>
      <c r="S57"/>
      <c r="T57"/>
      <c r="U57"/>
    </row>
    <row r="58" spans="2:21" ht="15" customHeight="1" x14ac:dyDescent="0.25">
      <c r="B58" s="31"/>
      <c r="C58" s="31"/>
      <c r="D58" s="31"/>
      <c r="E58" s="31"/>
      <c r="F58" s="31"/>
      <c r="G58" s="31"/>
      <c r="H58" s="31"/>
      <c r="I58" s="31"/>
      <c r="J58" s="31"/>
      <c r="K58"/>
      <c r="L58"/>
      <c r="M58"/>
      <c r="N58"/>
      <c r="O58"/>
      <c r="P58"/>
      <c r="Q58"/>
      <c r="R58"/>
      <c r="S58"/>
      <c r="T58"/>
      <c r="U58"/>
    </row>
    <row r="59" spans="2:21" ht="15" customHeight="1" x14ac:dyDescent="0.25">
      <c r="B59" s="31"/>
      <c r="C59" s="31"/>
      <c r="D59" s="31"/>
      <c r="E59" s="31"/>
      <c r="F59" s="31"/>
      <c r="G59" s="31"/>
      <c r="H59" s="31"/>
      <c r="I59" s="31"/>
      <c r="J59" s="31"/>
      <c r="K59"/>
      <c r="L59"/>
      <c r="M59"/>
      <c r="N59"/>
      <c r="O59"/>
      <c r="P59"/>
      <c r="Q59"/>
      <c r="R59"/>
      <c r="S59"/>
      <c r="T59"/>
      <c r="U59"/>
    </row>
    <row r="60" spans="2:21" ht="15" customHeight="1" x14ac:dyDescent="0.25">
      <c r="B60" s="31"/>
      <c r="C60" s="31"/>
      <c r="D60" s="31"/>
      <c r="E60" s="31"/>
      <c r="F60" s="31"/>
      <c r="G60" s="31"/>
      <c r="H60" s="31"/>
      <c r="I60" s="31"/>
      <c r="J60" s="31"/>
      <c r="K60"/>
      <c r="L60"/>
      <c r="M60"/>
      <c r="N60"/>
      <c r="O60"/>
      <c r="P60"/>
      <c r="Q60"/>
      <c r="R60"/>
      <c r="S60"/>
      <c r="T60"/>
      <c r="U60"/>
    </row>
    <row r="61" spans="2:21" ht="15" customHeight="1" x14ac:dyDescent="0.25">
      <c r="B61" s="31"/>
      <c r="C61" s="31"/>
      <c r="D61" s="31"/>
      <c r="E61" s="31"/>
      <c r="F61" s="31"/>
      <c r="G61" s="31"/>
      <c r="H61" s="31"/>
      <c r="I61" s="31"/>
      <c r="J61" s="31"/>
      <c r="K61"/>
      <c r="L61"/>
      <c r="M61"/>
      <c r="N61"/>
      <c r="O61"/>
      <c r="P61"/>
      <c r="Q61"/>
      <c r="R61"/>
      <c r="S61"/>
      <c r="T61"/>
      <c r="U61"/>
    </row>
    <row r="62" spans="2:21" ht="15" customHeight="1" x14ac:dyDescent="0.25">
      <c r="B62" s="31"/>
      <c r="C62" s="31"/>
      <c r="D62" s="31"/>
      <c r="E62" s="31"/>
      <c r="F62" s="31"/>
      <c r="G62" s="31"/>
      <c r="H62" s="31"/>
      <c r="I62" s="31"/>
      <c r="J62" s="31"/>
      <c r="K62"/>
      <c r="L62"/>
      <c r="M62"/>
      <c r="N62"/>
      <c r="O62"/>
      <c r="P62"/>
      <c r="Q62"/>
      <c r="R62"/>
      <c r="S62"/>
      <c r="T62"/>
      <c r="U62"/>
    </row>
    <row r="63" spans="2:21" ht="15" customHeight="1" x14ac:dyDescent="0.25">
      <c r="B63" s="31"/>
      <c r="C63" s="31"/>
      <c r="D63" s="31"/>
      <c r="E63" s="31"/>
      <c r="F63" s="31"/>
      <c r="G63" s="31"/>
      <c r="H63" s="31"/>
      <c r="I63" s="31"/>
      <c r="J63" s="31"/>
      <c r="K63"/>
      <c r="L63"/>
      <c r="M63"/>
      <c r="N63"/>
      <c r="O63"/>
      <c r="P63"/>
      <c r="Q63"/>
      <c r="R63"/>
      <c r="S63"/>
      <c r="T63"/>
      <c r="U63"/>
    </row>
    <row r="64" spans="2:21" ht="15" customHeight="1" x14ac:dyDescent="0.25">
      <c r="B64" s="31"/>
      <c r="C64" s="31"/>
      <c r="D64" s="31"/>
      <c r="E64" s="31"/>
      <c r="F64" s="31"/>
      <c r="G64" s="31"/>
      <c r="H64" s="31"/>
      <c r="I64" s="31"/>
      <c r="J64" s="31"/>
      <c r="K64"/>
      <c r="L64"/>
      <c r="M64"/>
      <c r="N64"/>
      <c r="O64"/>
      <c r="P64"/>
      <c r="Q64"/>
      <c r="R64"/>
      <c r="S64"/>
      <c r="T64"/>
      <c r="U64"/>
    </row>
    <row r="65" spans="2:21" ht="15" customHeight="1" x14ac:dyDescent="0.25">
      <c r="B65" s="31"/>
      <c r="C65" s="31"/>
      <c r="D65" s="31"/>
      <c r="E65" s="31"/>
      <c r="F65" s="31"/>
      <c r="G65" s="31"/>
      <c r="H65" s="31"/>
      <c r="I65" s="31"/>
      <c r="J65" s="31"/>
      <c r="K65"/>
      <c r="L65"/>
      <c r="M65"/>
      <c r="N65"/>
      <c r="O65"/>
      <c r="P65"/>
      <c r="Q65"/>
      <c r="R65"/>
      <c r="S65"/>
      <c r="T65"/>
      <c r="U65"/>
    </row>
    <row r="66" spans="2:21" ht="15" customHeight="1" x14ac:dyDescent="0.25">
      <c r="B66" s="31"/>
      <c r="C66" s="31"/>
      <c r="D66" s="31"/>
      <c r="E66" s="31"/>
      <c r="F66" s="31"/>
      <c r="G66" s="31"/>
      <c r="H66" s="31"/>
      <c r="I66" s="31"/>
      <c r="J66" s="31"/>
      <c r="K66"/>
      <c r="L66"/>
      <c r="M66"/>
      <c r="N66"/>
      <c r="O66"/>
      <c r="P66"/>
      <c r="Q66"/>
      <c r="R66"/>
      <c r="S66"/>
      <c r="T66"/>
      <c r="U66"/>
    </row>
    <row r="67" spans="2:21" ht="15" customHeight="1" x14ac:dyDescent="0.25">
      <c r="B67" s="31"/>
      <c r="C67" s="31"/>
      <c r="D67" s="31"/>
      <c r="E67" s="31"/>
      <c r="F67" s="31"/>
      <c r="G67" s="31"/>
      <c r="H67" s="31"/>
      <c r="I67" s="31"/>
      <c r="J67" s="31"/>
      <c r="K67"/>
      <c r="L67"/>
      <c r="M67"/>
      <c r="N67"/>
      <c r="O67"/>
      <c r="P67"/>
      <c r="Q67"/>
      <c r="R67"/>
      <c r="S67"/>
      <c r="T67"/>
      <c r="U67"/>
    </row>
    <row r="68" spans="2:21" ht="15" customHeight="1" x14ac:dyDescent="0.25">
      <c r="B68" s="31"/>
      <c r="C68" s="31"/>
      <c r="D68" s="31"/>
      <c r="E68" s="31"/>
      <c r="F68" s="31"/>
      <c r="G68" s="31"/>
      <c r="H68" s="31"/>
      <c r="I68" s="31"/>
      <c r="J68" s="31"/>
      <c r="K68"/>
      <c r="L68"/>
      <c r="M68"/>
      <c r="N68"/>
      <c r="O68"/>
      <c r="P68"/>
      <c r="Q68"/>
      <c r="R68"/>
      <c r="S68"/>
      <c r="T68"/>
      <c r="U68"/>
    </row>
    <row r="69" spans="2:21" ht="15" customHeight="1" x14ac:dyDescent="0.25">
      <c r="B69" s="31"/>
      <c r="C69" s="31"/>
      <c r="D69" s="31"/>
      <c r="E69" s="31"/>
      <c r="F69" s="31"/>
      <c r="G69" s="31"/>
      <c r="H69" s="31"/>
      <c r="I69" s="31"/>
      <c r="J69" s="31"/>
      <c r="K69"/>
      <c r="L69"/>
      <c r="M69"/>
      <c r="N69"/>
      <c r="O69"/>
      <c r="P69"/>
      <c r="Q69"/>
      <c r="R69"/>
      <c r="S69"/>
      <c r="T69"/>
      <c r="U69"/>
    </row>
    <row r="70" spans="2:21" ht="15" customHeight="1" x14ac:dyDescent="0.25">
      <c r="B70" s="31"/>
      <c r="C70" s="31"/>
      <c r="D70" s="31"/>
      <c r="E70" s="31"/>
      <c r="F70" s="31"/>
      <c r="G70" s="31"/>
      <c r="H70" s="31"/>
      <c r="I70" s="31"/>
      <c r="J70" s="31"/>
      <c r="K70"/>
      <c r="L70"/>
      <c r="M70"/>
      <c r="N70"/>
      <c r="O70"/>
      <c r="P70"/>
      <c r="Q70"/>
      <c r="R70"/>
      <c r="S70"/>
      <c r="T70"/>
      <c r="U70"/>
    </row>
    <row r="71" spans="2:21" ht="15" customHeight="1" x14ac:dyDescent="0.25">
      <c r="B71" s="31"/>
      <c r="C71" s="31"/>
      <c r="D71" s="31"/>
      <c r="E71" s="31"/>
      <c r="F71" s="31"/>
      <c r="G71" s="31"/>
      <c r="H71" s="31"/>
      <c r="I71" s="31"/>
      <c r="J71" s="31"/>
      <c r="K71"/>
      <c r="L71"/>
      <c r="M71"/>
      <c r="N71"/>
      <c r="O71"/>
      <c r="P71"/>
      <c r="Q71"/>
      <c r="R71"/>
      <c r="S71"/>
      <c r="T71"/>
      <c r="U71"/>
    </row>
    <row r="72" spans="2:21" ht="15" customHeight="1" x14ac:dyDescent="0.25">
      <c r="B72" s="31"/>
      <c r="C72" s="31"/>
      <c r="D72" s="31"/>
      <c r="E72" s="31"/>
      <c r="F72" s="31"/>
      <c r="G72" s="31"/>
      <c r="H72" s="31"/>
      <c r="I72" s="31"/>
      <c r="J72" s="31"/>
      <c r="K72"/>
      <c r="L72"/>
      <c r="M72"/>
      <c r="N72"/>
      <c r="O72"/>
      <c r="P72"/>
      <c r="Q72"/>
      <c r="R72"/>
      <c r="S72"/>
      <c r="T72"/>
      <c r="U72"/>
    </row>
    <row r="73" spans="2:21" ht="15" customHeight="1" x14ac:dyDescent="0.25">
      <c r="B73" s="31"/>
      <c r="C73" s="31"/>
      <c r="D73" s="31"/>
      <c r="E73" s="31"/>
      <c r="F73" s="31"/>
      <c r="G73" s="31"/>
      <c r="H73" s="31"/>
      <c r="I73" s="31"/>
      <c r="J73" s="31"/>
      <c r="K73"/>
      <c r="L73"/>
      <c r="M73"/>
      <c r="N73"/>
      <c r="O73"/>
      <c r="P73"/>
      <c r="Q73"/>
      <c r="R73"/>
      <c r="S73"/>
      <c r="T73"/>
      <c r="U73"/>
    </row>
    <row r="74" spans="2:21" ht="15" customHeight="1" x14ac:dyDescent="0.25">
      <c r="B74" s="31"/>
      <c r="C74" s="31"/>
      <c r="D74" s="31"/>
      <c r="E74" s="31"/>
      <c r="F74" s="31"/>
      <c r="G74" s="31"/>
      <c r="H74" s="31"/>
      <c r="I74" s="31"/>
      <c r="J74" s="31"/>
      <c r="K74"/>
      <c r="L74"/>
      <c r="M74"/>
      <c r="N74"/>
      <c r="O74"/>
      <c r="P74"/>
      <c r="Q74"/>
      <c r="R74"/>
      <c r="S74"/>
      <c r="T74"/>
      <c r="U74"/>
    </row>
    <row r="75" spans="2:21" ht="15" customHeight="1" x14ac:dyDescent="0.25">
      <c r="B75" s="31"/>
      <c r="C75" s="31"/>
      <c r="D75" s="31"/>
      <c r="E75" s="31"/>
      <c r="F75" s="31"/>
      <c r="G75" s="31"/>
      <c r="H75" s="31"/>
      <c r="I75" s="31"/>
      <c r="J75" s="31"/>
      <c r="K75"/>
      <c r="L75"/>
      <c r="M75"/>
      <c r="N75"/>
      <c r="O75"/>
      <c r="P75"/>
      <c r="Q75"/>
      <c r="R75"/>
      <c r="S75"/>
      <c r="T75"/>
      <c r="U75"/>
    </row>
    <row r="76" spans="2:21" ht="15" customHeight="1" x14ac:dyDescent="0.25">
      <c r="B76" s="31"/>
      <c r="C76" s="31"/>
      <c r="D76" s="31"/>
      <c r="E76" s="31"/>
      <c r="F76" s="31"/>
      <c r="G76" s="31"/>
      <c r="H76" s="31"/>
      <c r="I76" s="31"/>
      <c r="J76" s="31"/>
      <c r="K76"/>
      <c r="L76"/>
      <c r="M76"/>
      <c r="N76"/>
      <c r="O76"/>
      <c r="P76"/>
      <c r="Q76"/>
      <c r="R76"/>
      <c r="S76"/>
      <c r="T76"/>
      <c r="U76"/>
    </row>
    <row r="77" spans="2:21" ht="15" customHeight="1" x14ac:dyDescent="0.25">
      <c r="B77" s="31"/>
      <c r="C77" s="31"/>
      <c r="D77" s="31"/>
      <c r="E77" s="31"/>
      <c r="F77" s="31"/>
      <c r="G77" s="31"/>
      <c r="H77" s="31"/>
      <c r="I77" s="31"/>
      <c r="J77" s="31"/>
      <c r="K77"/>
      <c r="L77"/>
      <c r="M77"/>
      <c r="N77"/>
      <c r="O77"/>
      <c r="P77"/>
      <c r="Q77"/>
      <c r="R77"/>
      <c r="S77"/>
      <c r="T77"/>
      <c r="U77"/>
    </row>
    <row r="78" spans="2:21" ht="15" customHeight="1" x14ac:dyDescent="0.25">
      <c r="B78" s="31"/>
      <c r="C78" s="31"/>
      <c r="D78" s="31"/>
      <c r="E78" s="31"/>
      <c r="F78" s="31"/>
      <c r="G78" s="31"/>
      <c r="H78" s="31"/>
      <c r="I78" s="31"/>
      <c r="J78" s="31"/>
      <c r="K78"/>
      <c r="L78"/>
      <c r="M78"/>
      <c r="N78"/>
      <c r="O78"/>
      <c r="P78"/>
      <c r="Q78"/>
      <c r="R78"/>
      <c r="S78"/>
      <c r="T78"/>
      <c r="U78"/>
    </row>
    <row r="79" spans="2:21" ht="15" customHeight="1" x14ac:dyDescent="0.25">
      <c r="B79" s="31"/>
      <c r="C79" s="31"/>
      <c r="D79" s="31"/>
      <c r="E79" s="31"/>
      <c r="F79" s="31"/>
      <c r="G79" s="31"/>
      <c r="H79" s="31"/>
      <c r="I79" s="31"/>
      <c r="J79" s="31"/>
      <c r="K79"/>
      <c r="L79"/>
      <c r="M79"/>
      <c r="N79"/>
      <c r="O79"/>
      <c r="P79"/>
      <c r="Q79"/>
      <c r="R79"/>
      <c r="S79"/>
      <c r="T79"/>
      <c r="U79"/>
    </row>
    <row r="80" spans="2:21" ht="15" customHeight="1" x14ac:dyDescent="0.25">
      <c r="B80" s="31"/>
      <c r="C80" s="31"/>
      <c r="D80" s="31"/>
      <c r="E80" s="31"/>
      <c r="F80" s="31"/>
      <c r="G80" s="31"/>
      <c r="H80" s="31"/>
      <c r="I80" s="31"/>
      <c r="J80" s="31"/>
      <c r="K80"/>
      <c r="L80"/>
      <c r="M80"/>
      <c r="N80"/>
      <c r="O80"/>
      <c r="P80"/>
      <c r="Q80"/>
      <c r="R80"/>
      <c r="S80"/>
      <c r="T80"/>
      <c r="U80"/>
    </row>
    <row r="81" spans="2:21" ht="15" customHeight="1" x14ac:dyDescent="0.25">
      <c r="B81" s="31"/>
      <c r="C81" s="31"/>
      <c r="D81" s="31"/>
      <c r="E81" s="31"/>
      <c r="F81" s="31"/>
      <c r="G81" s="31"/>
      <c r="H81" s="31"/>
      <c r="I81" s="31"/>
      <c r="J81" s="31"/>
      <c r="K81"/>
      <c r="L81"/>
      <c r="M81"/>
      <c r="N81"/>
      <c r="O81"/>
      <c r="P81"/>
      <c r="Q81"/>
      <c r="R81"/>
      <c r="S81"/>
      <c r="T81"/>
      <c r="U81"/>
    </row>
    <row r="82" spans="2:21" ht="15" customHeight="1" x14ac:dyDescent="0.25">
      <c r="B82" s="31"/>
      <c r="C82" s="31"/>
      <c r="D82" s="31"/>
      <c r="E82" s="31"/>
      <c r="F82" s="31"/>
      <c r="G82" s="31"/>
      <c r="H82" s="31"/>
      <c r="I82" s="31"/>
      <c r="J82" s="31"/>
      <c r="K82"/>
      <c r="L82"/>
      <c r="M82"/>
      <c r="N82"/>
      <c r="O82"/>
      <c r="P82"/>
      <c r="Q82"/>
      <c r="R82"/>
      <c r="S82"/>
      <c r="T82"/>
      <c r="U82"/>
    </row>
    <row r="83" spans="2:21" ht="15" customHeight="1" x14ac:dyDescent="0.25">
      <c r="B83" s="31"/>
      <c r="C83" s="31"/>
      <c r="D83" s="31"/>
      <c r="E83" s="31"/>
      <c r="F83" s="31"/>
      <c r="G83" s="31"/>
      <c r="H83" s="31"/>
      <c r="I83" s="31"/>
      <c r="J83" s="31"/>
      <c r="K83"/>
      <c r="L83"/>
      <c r="M83"/>
      <c r="N83"/>
      <c r="O83"/>
      <c r="P83"/>
      <c r="Q83"/>
      <c r="R83"/>
      <c r="S83"/>
      <c r="T83"/>
      <c r="U83"/>
    </row>
    <row r="84" spans="2:21" ht="15" customHeight="1" x14ac:dyDescent="0.25">
      <c r="B84" s="31"/>
      <c r="C84" s="31"/>
      <c r="D84" s="31"/>
      <c r="E84" s="31"/>
      <c r="F84" s="31"/>
      <c r="G84" s="31"/>
      <c r="H84" s="31"/>
      <c r="I84" s="31"/>
      <c r="J84" s="31"/>
      <c r="K84"/>
      <c r="L84"/>
      <c r="M84"/>
      <c r="N84"/>
      <c r="O84"/>
      <c r="P84"/>
      <c r="Q84"/>
      <c r="R84"/>
      <c r="S84"/>
      <c r="T84"/>
      <c r="U84"/>
    </row>
    <row r="85" spans="2:21" ht="15" customHeight="1" x14ac:dyDescent="0.25">
      <c r="B85" s="31"/>
      <c r="C85" s="31"/>
      <c r="D85" s="31"/>
      <c r="E85" s="31"/>
      <c r="F85" s="31"/>
      <c r="G85" s="31"/>
      <c r="H85" s="31"/>
      <c r="I85" s="31"/>
      <c r="J85" s="31"/>
      <c r="K85"/>
      <c r="L85"/>
      <c r="M85"/>
      <c r="N85"/>
      <c r="O85"/>
      <c r="P85"/>
      <c r="Q85"/>
      <c r="R85"/>
      <c r="S85"/>
      <c r="T85"/>
      <c r="U85"/>
    </row>
    <row r="86" spans="2:21" ht="15" customHeight="1" x14ac:dyDescent="0.25">
      <c r="B86" s="31"/>
      <c r="C86" s="31"/>
      <c r="D86" s="31"/>
      <c r="E86" s="31"/>
      <c r="F86" s="31"/>
      <c r="G86" s="31"/>
      <c r="H86" s="31"/>
      <c r="I86" s="31"/>
      <c r="J86" s="31"/>
      <c r="K86"/>
      <c r="L86"/>
      <c r="M86"/>
      <c r="N86"/>
      <c r="O86"/>
      <c r="P86"/>
      <c r="Q86"/>
      <c r="R86"/>
      <c r="S86"/>
      <c r="T86"/>
      <c r="U86"/>
    </row>
    <row r="87" spans="2:21" ht="15" customHeight="1" x14ac:dyDescent="0.25">
      <c r="B87" s="31"/>
      <c r="C87" s="31"/>
      <c r="D87" s="31"/>
      <c r="E87" s="31"/>
      <c r="F87" s="31"/>
      <c r="G87" s="31"/>
      <c r="H87" s="31"/>
      <c r="I87" s="31"/>
      <c r="J87" s="31"/>
      <c r="K87"/>
      <c r="L87"/>
      <c r="M87"/>
      <c r="N87"/>
      <c r="O87"/>
      <c r="P87"/>
      <c r="Q87"/>
      <c r="R87"/>
      <c r="S87"/>
      <c r="T87"/>
      <c r="U87"/>
    </row>
    <row r="88" spans="2:21" ht="15" customHeight="1" x14ac:dyDescent="0.25">
      <c r="B88" s="31"/>
      <c r="C88" s="31"/>
      <c r="D88" s="31"/>
      <c r="E88" s="31"/>
      <c r="F88" s="31"/>
      <c r="G88" s="31"/>
      <c r="H88" s="31"/>
      <c r="I88" s="31"/>
      <c r="J88" s="31"/>
      <c r="K88"/>
      <c r="L88"/>
      <c r="M88"/>
      <c r="N88"/>
      <c r="O88"/>
      <c r="P88"/>
      <c r="Q88"/>
      <c r="R88"/>
      <c r="S88"/>
      <c r="T88"/>
      <c r="U88"/>
    </row>
    <row r="89" spans="2:21" ht="15" customHeight="1" x14ac:dyDescent="0.25">
      <c r="B89" s="31"/>
      <c r="C89" s="31"/>
      <c r="D89" s="31"/>
      <c r="E89" s="31"/>
      <c r="F89" s="31"/>
      <c r="G89" s="31"/>
      <c r="H89" s="31"/>
      <c r="I89" s="31"/>
      <c r="J89" s="31"/>
      <c r="K89"/>
      <c r="L89"/>
      <c r="M89"/>
      <c r="N89"/>
      <c r="O89"/>
      <c r="P89"/>
      <c r="Q89"/>
      <c r="R89"/>
      <c r="S89"/>
      <c r="T89"/>
      <c r="U89"/>
    </row>
    <row r="90" spans="2:21" ht="15" customHeight="1" x14ac:dyDescent="0.25">
      <c r="B90" s="31"/>
      <c r="C90" s="31"/>
      <c r="D90" s="31"/>
      <c r="E90" s="31"/>
      <c r="F90" s="31"/>
      <c r="G90" s="31"/>
      <c r="H90" s="31"/>
      <c r="I90" s="31"/>
      <c r="J90" s="31"/>
      <c r="K90"/>
      <c r="L90"/>
      <c r="M90"/>
      <c r="N90"/>
      <c r="O90"/>
      <c r="P90"/>
      <c r="Q90"/>
      <c r="R90"/>
      <c r="S90"/>
      <c r="T90"/>
      <c r="U90"/>
    </row>
    <row r="91" spans="2:21" ht="15" customHeight="1" x14ac:dyDescent="0.25">
      <c r="B91" s="31"/>
      <c r="C91" s="31"/>
      <c r="D91" s="31"/>
      <c r="E91" s="31"/>
      <c r="F91" s="31"/>
      <c r="G91" s="31"/>
      <c r="H91" s="31"/>
      <c r="I91" s="31"/>
      <c r="J91" s="31"/>
      <c r="K91"/>
      <c r="L91"/>
      <c r="M91"/>
      <c r="N91"/>
      <c r="O91"/>
      <c r="P91"/>
      <c r="Q91"/>
      <c r="R91"/>
      <c r="S91"/>
      <c r="T91"/>
      <c r="U91"/>
    </row>
    <row r="92" spans="2:21" ht="15" customHeight="1" x14ac:dyDescent="0.25">
      <c r="B92" s="31"/>
      <c r="C92" s="31"/>
      <c r="D92" s="31"/>
      <c r="E92" s="31"/>
      <c r="F92" s="31"/>
      <c r="G92" s="31"/>
      <c r="H92" s="31"/>
      <c r="I92" s="31"/>
      <c r="J92" s="31"/>
      <c r="K92"/>
      <c r="L92"/>
      <c r="M92"/>
      <c r="N92"/>
      <c r="O92"/>
      <c r="P92"/>
      <c r="Q92"/>
      <c r="R92"/>
      <c r="S92"/>
      <c r="T92"/>
      <c r="U92"/>
    </row>
    <row r="93" spans="2:21" ht="15" customHeight="1" x14ac:dyDescent="0.25">
      <c r="B93" s="31"/>
      <c r="C93" s="31"/>
      <c r="D93" s="31"/>
      <c r="E93" s="31"/>
      <c r="F93" s="31"/>
      <c r="G93" s="31"/>
      <c r="H93" s="31"/>
      <c r="I93" s="31"/>
      <c r="J93" s="31"/>
      <c r="K93"/>
      <c r="L93"/>
      <c r="M93"/>
      <c r="N93"/>
      <c r="O93"/>
      <c r="P93"/>
      <c r="Q93"/>
      <c r="R93"/>
      <c r="S93"/>
      <c r="T93"/>
      <c r="U93"/>
    </row>
    <row r="94" spans="2:21" ht="15" customHeight="1" x14ac:dyDescent="0.25">
      <c r="B94" s="31"/>
      <c r="C94" s="31"/>
      <c r="D94" s="31"/>
      <c r="E94" s="31"/>
      <c r="F94" s="31"/>
      <c r="G94" s="31"/>
      <c r="H94" s="31"/>
      <c r="I94" s="31"/>
      <c r="J94" s="31"/>
      <c r="K94"/>
      <c r="L94"/>
      <c r="M94"/>
      <c r="N94"/>
      <c r="O94"/>
      <c r="P94"/>
      <c r="Q94"/>
      <c r="R94"/>
      <c r="S94"/>
      <c r="T94"/>
      <c r="U94"/>
    </row>
    <row r="95" spans="2:21" ht="15" customHeight="1" x14ac:dyDescent="0.25">
      <c r="B95" s="31"/>
      <c r="C95" s="31"/>
      <c r="D95" s="31"/>
      <c r="E95" s="31"/>
      <c r="F95" s="31"/>
      <c r="G95" s="31"/>
      <c r="H95" s="31"/>
      <c r="I95" s="31"/>
      <c r="J95" s="31"/>
      <c r="K95"/>
      <c r="L95"/>
      <c r="M95"/>
      <c r="N95"/>
      <c r="O95"/>
      <c r="P95"/>
      <c r="Q95"/>
      <c r="R95"/>
      <c r="S95"/>
      <c r="T95"/>
      <c r="U95"/>
    </row>
    <row r="96" spans="2:21" ht="15" customHeight="1" x14ac:dyDescent="0.25">
      <c r="B96" s="31"/>
      <c r="C96" s="31"/>
      <c r="D96" s="31"/>
      <c r="E96" s="31"/>
      <c r="F96" s="31"/>
      <c r="G96" s="31"/>
      <c r="H96" s="31"/>
      <c r="I96" s="31"/>
      <c r="J96" s="31"/>
      <c r="K96"/>
      <c r="L96"/>
      <c r="M96"/>
      <c r="N96"/>
      <c r="O96"/>
      <c r="P96"/>
      <c r="Q96"/>
      <c r="R96"/>
      <c r="S96"/>
      <c r="T96"/>
      <c r="U96"/>
    </row>
    <row r="97" spans="2:21" ht="15" customHeight="1" x14ac:dyDescent="0.25">
      <c r="B97" s="31"/>
      <c r="C97" s="31"/>
      <c r="D97" s="31"/>
      <c r="E97" s="31"/>
      <c r="F97" s="31"/>
      <c r="G97" s="31"/>
      <c r="H97" s="31"/>
      <c r="I97" s="31"/>
      <c r="J97" s="31"/>
      <c r="K97"/>
      <c r="L97"/>
      <c r="M97"/>
      <c r="N97"/>
      <c r="O97"/>
      <c r="P97"/>
      <c r="Q97"/>
      <c r="R97"/>
      <c r="S97"/>
      <c r="T97"/>
      <c r="U97"/>
    </row>
    <row r="98" spans="2:21" ht="15" customHeight="1" x14ac:dyDescent="0.25">
      <c r="B98" s="31"/>
      <c r="C98" s="31"/>
      <c r="D98" s="31"/>
      <c r="E98" s="31"/>
      <c r="F98" s="31"/>
      <c r="G98" s="31"/>
      <c r="H98" s="31"/>
      <c r="I98" s="31"/>
      <c r="J98" s="31"/>
      <c r="K98"/>
      <c r="L98"/>
      <c r="M98"/>
      <c r="N98"/>
      <c r="O98"/>
      <c r="P98"/>
      <c r="Q98"/>
      <c r="R98"/>
      <c r="S98"/>
      <c r="T98"/>
      <c r="U98"/>
    </row>
    <row r="99" spans="2:21" ht="15" customHeight="1" x14ac:dyDescent="0.25">
      <c r="B99" s="31"/>
      <c r="C99" s="31"/>
      <c r="D99" s="31"/>
      <c r="E99" s="31"/>
      <c r="F99" s="31"/>
      <c r="G99" s="31"/>
      <c r="H99" s="31"/>
      <c r="I99" s="31"/>
      <c r="J99" s="31"/>
      <c r="K99"/>
      <c r="L99"/>
      <c r="M99"/>
      <c r="N99"/>
      <c r="O99"/>
      <c r="P99"/>
      <c r="Q99"/>
      <c r="R99"/>
      <c r="S99"/>
      <c r="T99"/>
      <c r="U99"/>
    </row>
    <row r="100" spans="2:21" ht="15" customHeight="1" x14ac:dyDescent="0.25">
      <c r="B100" s="31"/>
      <c r="C100" s="31"/>
      <c r="D100" s="31"/>
      <c r="E100" s="31"/>
      <c r="F100" s="31"/>
      <c r="G100" s="31"/>
      <c r="H100" s="31"/>
      <c r="I100" s="31"/>
      <c r="J100" s="31"/>
      <c r="K100"/>
      <c r="L100"/>
      <c r="M100"/>
      <c r="N100"/>
      <c r="O100"/>
      <c r="P100"/>
      <c r="Q100"/>
      <c r="R100"/>
      <c r="S100"/>
      <c r="T100"/>
      <c r="U100"/>
    </row>
    <row r="101" spans="2:21" ht="15" customHeight="1" x14ac:dyDescent="0.25">
      <c r="B101" s="31"/>
      <c r="C101" s="31"/>
      <c r="D101" s="31"/>
      <c r="E101" s="31"/>
      <c r="F101" s="31"/>
      <c r="G101" s="31"/>
      <c r="H101" s="31"/>
      <c r="I101" s="31"/>
      <c r="J101" s="31"/>
      <c r="K101"/>
      <c r="L101"/>
      <c r="M101"/>
      <c r="N101"/>
      <c r="O101"/>
      <c r="P101"/>
      <c r="Q101"/>
      <c r="R101"/>
      <c r="S101"/>
      <c r="T101"/>
      <c r="U101"/>
    </row>
  </sheetData>
  <mergeCells count="1">
    <mergeCell ref="H1:I1"/>
  </mergeCells>
  <conditionalFormatting sqref="B1">
    <cfRule type="cellIs" dxfId="44" priority="1" operator="equal">
      <formula>"Incomplete"</formula>
    </cfRule>
    <cfRule type="cellIs" dxfId="43" priority="2" operator="equal">
      <formula>"Flag for Review"</formula>
    </cfRule>
    <cfRule type="cellIs" dxfId="42" priority="3" operator="equal">
      <formula>"Finished"</formula>
    </cfRule>
  </conditionalFormatting>
  <dataValidations count="1">
    <dataValidation type="list" allowBlank="1" showInputMessage="1" showErrorMessage="1" sqref="B1">
      <formula1>"Finished, Flag for Review, Incomplete"</formula1>
    </dataValidation>
  </dataValidations>
  <hyperlinks>
    <hyperlink ref="H1" location="'Point Grid'!A8" display="Return to Point Grid"/>
    <hyperlink ref="H1:I1" location="'Point Grid'!A1" display="Return to Point Grid"/>
  </hyperlink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/>
  <dimension ref="A1:W101"/>
  <sheetViews>
    <sheetView zoomScaleNormal="100" workbookViewId="0"/>
  </sheetViews>
  <sheetFormatPr defaultColWidth="9.140625" defaultRowHeight="15" x14ac:dyDescent="0.25"/>
  <cols>
    <col min="1" max="1" width="9.140625" style="21"/>
    <col min="2" max="2" width="16" style="21" bestFit="1" customWidth="1"/>
    <col min="3" max="9" width="11.140625" style="21" customWidth="1"/>
    <col min="10" max="16384" width="9.140625" style="21"/>
  </cols>
  <sheetData>
    <row r="1" spans="1:23" x14ac:dyDescent="0.25">
      <c r="A1" s="7">
        <v>17</v>
      </c>
      <c r="B1" s="27" t="s">
        <v>12</v>
      </c>
      <c r="C1" s="20"/>
      <c r="D1" s="20"/>
      <c r="E1" s="20"/>
      <c r="F1" s="20"/>
      <c r="G1" s="20"/>
      <c r="H1" s="384" t="s">
        <v>24</v>
      </c>
      <c r="I1" s="385"/>
      <c r="K1"/>
      <c r="L1"/>
      <c r="M1"/>
      <c r="N1"/>
      <c r="O1"/>
      <c r="P1"/>
      <c r="Q1"/>
      <c r="R1"/>
      <c r="S1"/>
      <c r="T1"/>
      <c r="U1"/>
      <c r="V1"/>
      <c r="W1"/>
    </row>
    <row r="2" spans="1:23" x14ac:dyDescent="0.25">
      <c r="A2" s="22"/>
      <c r="B2" s="19"/>
      <c r="C2" s="19"/>
      <c r="D2" s="19"/>
      <c r="E2" s="19"/>
      <c r="F2" s="19"/>
      <c r="G2" s="19"/>
      <c r="H2" s="19"/>
      <c r="I2" s="23"/>
      <c r="K2"/>
      <c r="L2"/>
      <c r="M2"/>
      <c r="N2"/>
      <c r="O2"/>
      <c r="P2"/>
      <c r="Q2"/>
      <c r="R2"/>
      <c r="S2"/>
      <c r="T2"/>
      <c r="U2"/>
      <c r="V2"/>
      <c r="W2"/>
    </row>
    <row r="3" spans="1:23" x14ac:dyDescent="0.25">
      <c r="A3" s="8" t="s">
        <v>13</v>
      </c>
      <c r="B3" s="17"/>
      <c r="C3" s="17"/>
      <c r="D3" s="17"/>
      <c r="E3" s="17"/>
      <c r="F3" s="17"/>
      <c r="G3" s="17"/>
      <c r="H3" s="17"/>
      <c r="I3" s="18"/>
      <c r="J3" s="31"/>
      <c r="K3"/>
      <c r="L3"/>
      <c r="M3"/>
      <c r="N3"/>
      <c r="O3"/>
      <c r="P3"/>
      <c r="Q3"/>
      <c r="R3"/>
      <c r="S3"/>
      <c r="T3"/>
      <c r="U3"/>
      <c r="V3"/>
      <c r="W3"/>
    </row>
    <row r="4" spans="1:23" x14ac:dyDescent="0.25">
      <c r="A4" s="9">
        <f>INDEX('Point Grid'!B:B,MATCH(A1,'Point Grid'!A:A,0))</f>
        <v>2.75</v>
      </c>
      <c r="B4" s="17"/>
      <c r="C4" s="17"/>
      <c r="D4" s="17"/>
      <c r="E4" s="17"/>
      <c r="F4" s="17"/>
      <c r="G4" s="17"/>
      <c r="H4" s="17"/>
      <c r="I4" s="18"/>
      <c r="J4" s="31"/>
      <c r="K4"/>
      <c r="L4"/>
      <c r="M4"/>
      <c r="N4"/>
      <c r="O4"/>
      <c r="P4"/>
      <c r="Q4"/>
      <c r="R4"/>
      <c r="S4"/>
      <c r="T4"/>
      <c r="U4"/>
      <c r="V4"/>
      <c r="W4"/>
    </row>
    <row r="5" spans="1:23" x14ac:dyDescent="0.25">
      <c r="A5" s="16"/>
      <c r="B5" s="17"/>
      <c r="C5" s="17"/>
      <c r="D5" s="17"/>
      <c r="E5" s="17"/>
      <c r="F5" s="17"/>
      <c r="G5" s="17"/>
      <c r="H5" s="17"/>
      <c r="I5" s="18"/>
      <c r="J5" s="31"/>
      <c r="K5"/>
      <c r="L5"/>
      <c r="M5"/>
      <c r="N5"/>
      <c r="O5"/>
      <c r="P5"/>
      <c r="Q5"/>
      <c r="R5"/>
      <c r="S5"/>
      <c r="T5"/>
      <c r="U5"/>
      <c r="V5"/>
      <c r="W5"/>
    </row>
    <row r="6" spans="1:23" x14ac:dyDescent="0.25">
      <c r="A6" s="25" t="s">
        <v>2</v>
      </c>
      <c r="B6" s="17" t="s">
        <v>212</v>
      </c>
      <c r="C6" s="17"/>
      <c r="D6" s="17"/>
      <c r="E6" s="17"/>
      <c r="F6" s="17"/>
      <c r="G6" s="17"/>
      <c r="H6" s="17"/>
      <c r="I6" s="18"/>
      <c r="J6" s="31"/>
      <c r="K6"/>
      <c r="L6"/>
      <c r="M6"/>
      <c r="N6"/>
      <c r="O6"/>
      <c r="P6"/>
      <c r="Q6"/>
      <c r="R6"/>
      <c r="S6"/>
      <c r="T6"/>
      <c r="U6"/>
      <c r="V6"/>
      <c r="W6"/>
    </row>
    <row r="7" spans="1:23" ht="15.75" thickBot="1" x14ac:dyDescent="0.3">
      <c r="A7" s="9">
        <f>INDEX('Point Grid'!$C$8:$I$54,MATCH($A$1,'Point Grid'!$A$8:$A$54,0),MATCH(A6,'Point Grid'!$C$7:$I$7,0))</f>
        <v>0.5</v>
      </c>
      <c r="B7" s="17"/>
      <c r="C7" s="17"/>
      <c r="D7" s="17"/>
      <c r="E7" s="17"/>
      <c r="F7" s="17"/>
      <c r="G7" s="17"/>
      <c r="H7" s="17"/>
      <c r="I7" s="18"/>
      <c r="J7" s="31"/>
      <c r="K7"/>
      <c r="L7"/>
      <c r="M7"/>
      <c r="N7"/>
      <c r="O7"/>
      <c r="P7"/>
      <c r="Q7"/>
      <c r="R7"/>
      <c r="S7"/>
      <c r="T7"/>
      <c r="U7"/>
      <c r="V7"/>
      <c r="W7"/>
    </row>
    <row r="8" spans="1:23" ht="15.75" thickBot="1" x14ac:dyDescent="0.3">
      <c r="A8" s="5"/>
      <c r="B8" s="17"/>
      <c r="C8" s="28"/>
      <c r="D8" s="28"/>
      <c r="E8" s="28"/>
      <c r="F8" s="28"/>
      <c r="G8" s="28"/>
      <c r="H8" s="28"/>
      <c r="I8" s="18"/>
      <c r="J8" s="31"/>
      <c r="K8"/>
      <c r="L8"/>
      <c r="M8"/>
      <c r="N8"/>
      <c r="O8"/>
      <c r="P8"/>
      <c r="Q8"/>
      <c r="R8"/>
      <c r="S8"/>
      <c r="T8"/>
      <c r="U8"/>
      <c r="V8"/>
      <c r="W8"/>
    </row>
    <row r="9" spans="1:23" x14ac:dyDescent="0.25">
      <c r="A9" s="25"/>
      <c r="B9" s="17"/>
      <c r="C9" s="17"/>
      <c r="D9" s="17"/>
      <c r="E9" s="17"/>
      <c r="F9" s="17"/>
      <c r="G9" s="17"/>
      <c r="H9" s="17"/>
      <c r="I9" s="18"/>
      <c r="J9" s="31"/>
      <c r="K9"/>
      <c r="L9"/>
      <c r="M9"/>
      <c r="N9"/>
      <c r="O9"/>
      <c r="P9"/>
      <c r="Q9"/>
      <c r="R9"/>
      <c r="S9"/>
      <c r="T9"/>
      <c r="U9"/>
      <c r="V9"/>
      <c r="W9"/>
    </row>
    <row r="10" spans="1:23" x14ac:dyDescent="0.25">
      <c r="A10" s="25" t="s">
        <v>3</v>
      </c>
      <c r="B10" s="17" t="s">
        <v>213</v>
      </c>
      <c r="C10" s="17"/>
      <c r="D10" s="17"/>
      <c r="E10" s="17"/>
      <c r="F10" s="17"/>
      <c r="G10" s="17"/>
      <c r="H10" s="17"/>
      <c r="I10" s="18"/>
      <c r="J10" s="31"/>
      <c r="K10"/>
      <c r="L10"/>
      <c r="M10"/>
      <c r="N10"/>
      <c r="O10"/>
      <c r="P10"/>
      <c r="Q10"/>
      <c r="R10"/>
      <c r="S10"/>
      <c r="T10"/>
      <c r="U10"/>
      <c r="V10"/>
      <c r="W10"/>
    </row>
    <row r="11" spans="1:23" ht="15.75" thickBot="1" x14ac:dyDescent="0.3">
      <c r="A11" s="9">
        <f>INDEX('Point Grid'!$C$8:$I$54,MATCH($A$1,'Point Grid'!$A$8:$A$54,0),MATCH(A10,'Point Grid'!$C$7:$I$7,0))</f>
        <v>1.5</v>
      </c>
      <c r="B11" s="17" t="s">
        <v>214</v>
      </c>
      <c r="C11" s="17"/>
      <c r="D11" s="17"/>
      <c r="E11" s="17"/>
      <c r="F11" s="17"/>
      <c r="G11" s="17"/>
      <c r="H11" s="17"/>
      <c r="I11" s="18"/>
      <c r="J11" s="31"/>
      <c r="K11"/>
      <c r="L11"/>
      <c r="M11"/>
      <c r="N11"/>
      <c r="O11"/>
      <c r="P11"/>
      <c r="Q11"/>
      <c r="R11"/>
      <c r="S11"/>
      <c r="T11"/>
      <c r="U11"/>
      <c r="V11"/>
      <c r="W11"/>
    </row>
    <row r="12" spans="1:23" ht="15.75" thickBot="1" x14ac:dyDescent="0.3">
      <c r="A12" s="5"/>
      <c r="B12" s="17"/>
      <c r="C12" s="28"/>
      <c r="D12" s="28"/>
      <c r="E12" s="28"/>
      <c r="F12" s="28"/>
      <c r="G12" s="28"/>
      <c r="H12" s="28"/>
      <c r="I12" s="18"/>
      <c r="J12" s="31"/>
      <c r="K12"/>
      <c r="L12"/>
      <c r="M12"/>
      <c r="N12"/>
      <c r="O12"/>
      <c r="P12"/>
      <c r="Q12"/>
      <c r="R12"/>
      <c r="S12"/>
      <c r="T12"/>
      <c r="U12"/>
      <c r="V12"/>
      <c r="W12"/>
    </row>
    <row r="13" spans="1:23" x14ac:dyDescent="0.25">
      <c r="A13" s="25"/>
      <c r="B13" s="17"/>
      <c r="C13" s="28"/>
      <c r="D13" s="28"/>
      <c r="E13" s="28"/>
      <c r="F13" s="28"/>
      <c r="G13" s="28"/>
      <c r="H13" s="28"/>
      <c r="I13" s="18"/>
      <c r="J13" s="31"/>
      <c r="K13"/>
      <c r="L13"/>
      <c r="M13"/>
      <c r="N13"/>
      <c r="O13"/>
      <c r="P13"/>
      <c r="Q13"/>
      <c r="R13"/>
      <c r="S13"/>
      <c r="T13"/>
      <c r="U13"/>
      <c r="V13"/>
      <c r="W13"/>
    </row>
    <row r="14" spans="1:23" x14ac:dyDescent="0.25">
      <c r="A14" s="25" t="s">
        <v>4</v>
      </c>
      <c r="B14" s="17" t="s">
        <v>215</v>
      </c>
      <c r="C14" s="17"/>
      <c r="D14" s="17"/>
      <c r="E14" s="17"/>
      <c r="F14" s="17"/>
      <c r="G14" s="17"/>
      <c r="H14" s="17"/>
      <c r="I14" s="18"/>
      <c r="J14" s="31"/>
      <c r="K14"/>
      <c r="L14"/>
      <c r="M14"/>
      <c r="N14"/>
      <c r="O14"/>
      <c r="P14"/>
      <c r="Q14"/>
      <c r="R14"/>
      <c r="S14"/>
      <c r="T14"/>
      <c r="U14"/>
      <c r="V14"/>
      <c r="W14"/>
    </row>
    <row r="15" spans="1:23" ht="15.75" thickBot="1" x14ac:dyDescent="0.3">
      <c r="A15" s="9">
        <f>INDEX('Point Grid'!$C$8:$I$54,MATCH($A$1,'Point Grid'!$A$8:$A$54,0),MATCH(A14,'Point Grid'!$C$7:$I$7,0))</f>
        <v>0.75</v>
      </c>
      <c r="B15" s="17"/>
      <c r="C15" s="17"/>
      <c r="D15" s="17"/>
      <c r="E15" s="17"/>
      <c r="F15" s="17"/>
      <c r="G15" s="17"/>
      <c r="H15" s="17"/>
      <c r="I15" s="18"/>
      <c r="J15" s="31"/>
      <c r="K15"/>
      <c r="L15"/>
      <c r="M15"/>
      <c r="N15"/>
      <c r="O15"/>
      <c r="P15"/>
      <c r="Q15"/>
      <c r="R15"/>
      <c r="S15"/>
      <c r="T15"/>
      <c r="U15"/>
      <c r="V15"/>
      <c r="W15"/>
    </row>
    <row r="16" spans="1:23" ht="15.75" thickBot="1" x14ac:dyDescent="0.3">
      <c r="A16" s="5"/>
      <c r="B16" s="17"/>
      <c r="C16" s="92" t="s">
        <v>216</v>
      </c>
      <c r="D16" s="93"/>
      <c r="E16" s="94"/>
      <c r="F16" s="246">
        <v>6500</v>
      </c>
      <c r="G16" s="96"/>
      <c r="H16" s="17"/>
      <c r="I16" s="18"/>
      <c r="J16" s="31"/>
      <c r="K16"/>
      <c r="L16"/>
      <c r="M16"/>
      <c r="N16"/>
      <c r="O16"/>
      <c r="P16"/>
      <c r="Q16"/>
      <c r="R16"/>
      <c r="S16"/>
      <c r="T16"/>
      <c r="U16"/>
      <c r="V16"/>
      <c r="W16"/>
    </row>
    <row r="17" spans="1:23" x14ac:dyDescent="0.25">
      <c r="A17" s="22"/>
      <c r="B17" s="17"/>
      <c r="C17" s="97" t="s">
        <v>217</v>
      </c>
      <c r="D17" s="98"/>
      <c r="E17" s="99"/>
      <c r="F17" s="113">
        <v>0.03</v>
      </c>
      <c r="G17" s="96"/>
      <c r="H17" s="17"/>
      <c r="I17" s="18"/>
      <c r="J17" s="31"/>
      <c r="K17"/>
      <c r="L17"/>
      <c r="M17"/>
      <c r="N17"/>
      <c r="O17"/>
      <c r="P17"/>
      <c r="Q17"/>
      <c r="R17"/>
      <c r="S17"/>
      <c r="T17"/>
      <c r="U17"/>
      <c r="V17"/>
      <c r="W17"/>
    </row>
    <row r="18" spans="1:23" ht="15" customHeight="1" x14ac:dyDescent="0.25">
      <c r="A18" s="22"/>
      <c r="B18" s="17"/>
      <c r="C18" s="104" t="s">
        <v>218</v>
      </c>
      <c r="D18" s="105"/>
      <c r="E18" s="106"/>
      <c r="F18" s="381">
        <v>370</v>
      </c>
      <c r="G18" s="96"/>
      <c r="H18" s="17"/>
      <c r="I18" s="18"/>
      <c r="J18" s="31"/>
      <c r="K18"/>
      <c r="L18"/>
      <c r="M18"/>
      <c r="N18"/>
      <c r="O18"/>
      <c r="P18"/>
      <c r="Q18"/>
      <c r="R18"/>
      <c r="S18"/>
      <c r="T18"/>
      <c r="U18"/>
      <c r="V18"/>
      <c r="W18"/>
    </row>
    <row r="19" spans="1:23" ht="15" customHeight="1" x14ac:dyDescent="0.25">
      <c r="A19" s="22"/>
      <c r="B19" s="17"/>
      <c r="C19" s="96"/>
      <c r="D19" s="96"/>
      <c r="E19" s="96"/>
      <c r="F19" s="96"/>
      <c r="G19" s="96"/>
      <c r="H19" s="17"/>
      <c r="I19" s="18"/>
      <c r="J19" s="31"/>
      <c r="K19"/>
      <c r="L19"/>
      <c r="M19"/>
      <c r="N19"/>
      <c r="O19"/>
      <c r="P19"/>
      <c r="Q19"/>
      <c r="R19"/>
      <c r="S19"/>
      <c r="T19"/>
      <c r="U19"/>
      <c r="V19"/>
      <c r="W19"/>
    </row>
    <row r="20" spans="1:23" ht="15" customHeight="1" x14ac:dyDescent="0.25">
      <c r="A20" s="22"/>
      <c r="B20" s="17"/>
      <c r="C20" s="188" t="s">
        <v>219</v>
      </c>
      <c r="D20" s="189"/>
      <c r="E20" s="188" t="s">
        <v>220</v>
      </c>
      <c r="F20" s="189"/>
      <c r="G20" s="94"/>
      <c r="H20" s="17"/>
      <c r="I20" s="18"/>
      <c r="J20" s="31"/>
      <c r="K20"/>
      <c r="L20"/>
      <c r="M20"/>
      <c r="N20"/>
      <c r="O20"/>
      <c r="P20"/>
      <c r="Q20"/>
      <c r="R20"/>
      <c r="S20"/>
      <c r="T20"/>
      <c r="U20"/>
      <c r="V20"/>
      <c r="W20"/>
    </row>
    <row r="21" spans="1:23" ht="15" customHeight="1" x14ac:dyDescent="0.25">
      <c r="A21" s="22"/>
      <c r="B21" s="17"/>
      <c r="C21" s="191" t="s">
        <v>221</v>
      </c>
      <c r="D21" s="192"/>
      <c r="E21" s="191" t="s">
        <v>222</v>
      </c>
      <c r="F21" s="192"/>
      <c r="G21" s="161" t="s">
        <v>223</v>
      </c>
      <c r="H21" s="17"/>
      <c r="I21" s="18"/>
      <c r="J21" s="31"/>
      <c r="K21"/>
      <c r="L21"/>
      <c r="M21"/>
      <c r="N21"/>
      <c r="O21"/>
      <c r="P21"/>
      <c r="Q21"/>
      <c r="R21"/>
      <c r="S21"/>
      <c r="T21"/>
      <c r="U21"/>
      <c r="V21"/>
      <c r="W21"/>
    </row>
    <row r="22" spans="1:23" ht="15" customHeight="1" x14ac:dyDescent="0.25">
      <c r="A22" s="22"/>
      <c r="B22" s="17"/>
      <c r="C22" s="97" t="s">
        <v>224</v>
      </c>
      <c r="D22" s="99"/>
      <c r="E22" s="193">
        <v>1600</v>
      </c>
      <c r="F22" s="194"/>
      <c r="G22" s="195">
        <v>0</v>
      </c>
      <c r="H22" s="17"/>
      <c r="I22" s="18"/>
      <c r="J22" s="31"/>
      <c r="K22"/>
      <c r="L22"/>
      <c r="M22"/>
      <c r="N22"/>
      <c r="O22"/>
      <c r="P22"/>
      <c r="Q22"/>
      <c r="R22"/>
      <c r="S22"/>
      <c r="T22"/>
      <c r="U22"/>
      <c r="V22"/>
      <c r="W22"/>
    </row>
    <row r="23" spans="1:23" ht="15" customHeight="1" x14ac:dyDescent="0.25">
      <c r="A23" s="22"/>
      <c r="B23" s="17"/>
      <c r="C23" s="97" t="s">
        <v>225</v>
      </c>
      <c r="D23" s="99"/>
      <c r="E23" s="193">
        <v>1000</v>
      </c>
      <c r="F23" s="194"/>
      <c r="G23" s="195">
        <v>0.54</v>
      </c>
      <c r="H23" s="17"/>
      <c r="I23" s="18"/>
      <c r="J23" s="31"/>
      <c r="K23"/>
      <c r="L23"/>
      <c r="M23"/>
      <c r="N23"/>
      <c r="O23"/>
      <c r="P23"/>
      <c r="Q23"/>
      <c r="R23"/>
      <c r="S23"/>
      <c r="T23"/>
      <c r="U23"/>
      <c r="V23"/>
      <c r="W23"/>
    </row>
    <row r="24" spans="1:23" ht="15" customHeight="1" x14ac:dyDescent="0.25">
      <c r="A24" s="22"/>
      <c r="B24" s="17"/>
      <c r="C24" s="97" t="s">
        <v>226</v>
      </c>
      <c r="D24" s="99"/>
      <c r="E24" s="193">
        <v>400</v>
      </c>
      <c r="F24" s="194"/>
      <c r="G24" s="195">
        <v>1</v>
      </c>
      <c r="H24" s="17"/>
      <c r="I24" s="18"/>
      <c r="J24" s="31"/>
      <c r="K24"/>
      <c r="L24"/>
      <c r="M24"/>
      <c r="N24"/>
      <c r="O24"/>
      <c r="P24"/>
      <c r="Q24"/>
      <c r="R24"/>
      <c r="S24"/>
      <c r="T24"/>
      <c r="U24"/>
      <c r="V24"/>
      <c r="W24"/>
    </row>
    <row r="25" spans="1:23" ht="15" customHeight="1" x14ac:dyDescent="0.25">
      <c r="A25" s="22"/>
      <c r="B25" s="17"/>
      <c r="C25" s="97" t="s">
        <v>227</v>
      </c>
      <c r="D25" s="99"/>
      <c r="E25" s="193">
        <v>400</v>
      </c>
      <c r="F25" s="194"/>
      <c r="G25" s="195">
        <v>0</v>
      </c>
      <c r="H25" s="17"/>
      <c r="I25" s="18"/>
      <c r="J25" s="31"/>
      <c r="K25"/>
      <c r="L25"/>
      <c r="M25"/>
      <c r="N25"/>
      <c r="O25"/>
      <c r="P25"/>
      <c r="Q25"/>
      <c r="R25"/>
      <c r="S25"/>
      <c r="T25"/>
      <c r="U25"/>
      <c r="V25"/>
      <c r="W25"/>
    </row>
    <row r="26" spans="1:23" ht="15" customHeight="1" x14ac:dyDescent="0.25">
      <c r="A26" s="22"/>
      <c r="B26" s="17"/>
      <c r="C26" s="104" t="s">
        <v>228</v>
      </c>
      <c r="D26" s="106"/>
      <c r="E26" s="191">
        <v>50</v>
      </c>
      <c r="F26" s="192"/>
      <c r="G26" s="196">
        <v>1</v>
      </c>
      <c r="H26" s="17"/>
      <c r="I26" s="18"/>
      <c r="J26" s="31"/>
      <c r="K26"/>
      <c r="L26"/>
      <c r="M26"/>
      <c r="N26"/>
      <c r="O26"/>
      <c r="P26"/>
      <c r="Q26"/>
      <c r="R26"/>
      <c r="S26"/>
      <c r="T26"/>
      <c r="U26"/>
      <c r="V26"/>
      <c r="W26"/>
    </row>
    <row r="27" spans="1:23" ht="15" customHeight="1" x14ac:dyDescent="0.25">
      <c r="A27" s="22"/>
      <c r="B27" s="17"/>
      <c r="C27" s="197" t="s">
        <v>229</v>
      </c>
      <c r="D27" s="133"/>
      <c r="E27" s="198">
        <v>3450</v>
      </c>
      <c r="F27" s="199"/>
      <c r="G27" s="133"/>
      <c r="H27" s="17"/>
      <c r="I27" s="18"/>
      <c r="J27" s="31"/>
      <c r="K27"/>
      <c r="L27"/>
      <c r="M27"/>
      <c r="N27"/>
      <c r="O27"/>
      <c r="P27"/>
      <c r="Q27"/>
      <c r="R27"/>
      <c r="S27"/>
      <c r="T27"/>
      <c r="U27"/>
      <c r="V27"/>
      <c r="W27"/>
    </row>
    <row r="28" spans="1:23" ht="15" customHeight="1" x14ac:dyDescent="0.25">
      <c r="A28" s="22"/>
      <c r="B28" s="17"/>
      <c r="C28" s="89"/>
      <c r="D28" s="89"/>
      <c r="E28" s="89"/>
      <c r="F28" s="89"/>
      <c r="G28" s="89"/>
      <c r="H28" s="17"/>
      <c r="I28" s="18"/>
      <c r="J28" s="31"/>
      <c r="K28"/>
      <c r="L28"/>
      <c r="M28"/>
      <c r="N28"/>
      <c r="O28"/>
      <c r="P28"/>
      <c r="Q28"/>
      <c r="R28"/>
      <c r="S28"/>
      <c r="T28"/>
      <c r="U28"/>
      <c r="V28"/>
      <c r="W28"/>
    </row>
    <row r="29" spans="1:23" ht="15" customHeight="1" x14ac:dyDescent="0.25">
      <c r="A29" s="22"/>
      <c r="B29" s="17"/>
      <c r="C29" s="89"/>
      <c r="D29" s="89"/>
      <c r="E29" s="89"/>
      <c r="F29" s="89"/>
      <c r="G29" s="89"/>
      <c r="H29" s="17"/>
      <c r="I29" s="18"/>
      <c r="J29" s="31"/>
      <c r="K29"/>
      <c r="L29"/>
      <c r="M29"/>
      <c r="N29"/>
      <c r="O29"/>
      <c r="P29"/>
      <c r="Q29"/>
      <c r="R29"/>
      <c r="S29"/>
      <c r="T29"/>
      <c r="U29"/>
      <c r="V29"/>
      <c r="W29"/>
    </row>
    <row r="30" spans="1:23" ht="15" customHeight="1" x14ac:dyDescent="0.25">
      <c r="A30" s="22"/>
      <c r="B30" s="17"/>
      <c r="C30" s="89"/>
      <c r="D30" s="89"/>
      <c r="E30" s="89"/>
      <c r="F30" s="89"/>
      <c r="G30" s="89"/>
      <c r="H30" s="17"/>
      <c r="I30" s="18"/>
      <c r="J30" s="31"/>
      <c r="K30"/>
      <c r="L30"/>
      <c r="M30"/>
      <c r="N30"/>
      <c r="O30"/>
      <c r="P30"/>
      <c r="Q30"/>
      <c r="R30"/>
      <c r="S30"/>
      <c r="T30"/>
      <c r="U30"/>
      <c r="V30"/>
      <c r="W30"/>
    </row>
    <row r="31" spans="1:23" ht="15" customHeight="1" x14ac:dyDescent="0.25">
      <c r="A31" s="22"/>
      <c r="B31" s="17"/>
      <c r="C31" s="89"/>
      <c r="D31" s="89"/>
      <c r="E31" s="89"/>
      <c r="F31" s="89"/>
      <c r="G31" s="89"/>
      <c r="H31" s="17"/>
      <c r="I31" s="18"/>
      <c r="J31" s="31"/>
      <c r="K31"/>
      <c r="L31"/>
      <c r="M31"/>
      <c r="N31"/>
      <c r="O31"/>
      <c r="P31"/>
      <c r="Q31"/>
      <c r="R31"/>
      <c r="S31"/>
      <c r="T31"/>
      <c r="U31"/>
      <c r="V31"/>
      <c r="W31"/>
    </row>
    <row r="32" spans="1:23" ht="15" customHeight="1" x14ac:dyDescent="0.25">
      <c r="A32" s="22"/>
      <c r="B32" s="17"/>
      <c r="C32" s="89"/>
      <c r="D32" s="89"/>
      <c r="E32" s="89"/>
      <c r="F32" s="89"/>
      <c r="G32" s="89"/>
      <c r="H32" s="17"/>
      <c r="I32" s="18"/>
      <c r="J32" s="31"/>
      <c r="K32"/>
      <c r="L32"/>
      <c r="M32"/>
      <c r="N32"/>
      <c r="O32"/>
      <c r="P32"/>
      <c r="Q32"/>
      <c r="R32"/>
      <c r="S32"/>
      <c r="T32"/>
      <c r="U32"/>
      <c r="V32"/>
      <c r="W32"/>
    </row>
    <row r="33" spans="1:23" ht="15" customHeight="1" x14ac:dyDescent="0.25">
      <c r="A33" s="22"/>
      <c r="B33" s="17"/>
      <c r="C33" s="89"/>
      <c r="D33" s="89"/>
      <c r="E33" s="89"/>
      <c r="F33" s="89"/>
      <c r="G33" s="89"/>
      <c r="H33" s="17"/>
      <c r="I33" s="18"/>
      <c r="J33" s="31"/>
      <c r="K33"/>
      <c r="L33"/>
      <c r="M33"/>
      <c r="N33"/>
      <c r="O33"/>
      <c r="P33"/>
      <c r="Q33"/>
      <c r="R33"/>
      <c r="S33"/>
      <c r="T33"/>
      <c r="U33"/>
      <c r="V33"/>
      <c r="W33"/>
    </row>
    <row r="34" spans="1:23" ht="15" customHeight="1" x14ac:dyDescent="0.25">
      <c r="A34" s="22"/>
      <c r="B34" s="17"/>
      <c r="C34" s="89"/>
      <c r="D34" s="89"/>
      <c r="E34" s="89"/>
      <c r="F34" s="89"/>
      <c r="G34" s="89"/>
      <c r="H34" s="17"/>
      <c r="I34" s="18"/>
      <c r="J34" s="31"/>
      <c r="K34"/>
      <c r="L34"/>
      <c r="M34"/>
      <c r="N34"/>
      <c r="O34"/>
      <c r="P34"/>
      <c r="Q34"/>
      <c r="R34"/>
      <c r="S34"/>
      <c r="T34"/>
      <c r="U34"/>
      <c r="V34"/>
      <c r="W34"/>
    </row>
    <row r="35" spans="1:23" ht="15" customHeight="1" x14ac:dyDescent="0.25">
      <c r="A35" s="22"/>
      <c r="B35" s="17"/>
      <c r="C35" s="89"/>
      <c r="D35" s="89"/>
      <c r="E35" s="89"/>
      <c r="F35" s="89"/>
      <c r="G35" s="89"/>
      <c r="H35" s="17"/>
      <c r="I35" s="18"/>
      <c r="J35" s="31"/>
      <c r="K35"/>
      <c r="L35"/>
      <c r="M35"/>
      <c r="N35"/>
      <c r="O35"/>
      <c r="P35"/>
      <c r="Q35"/>
      <c r="R35"/>
      <c r="S35"/>
      <c r="T35"/>
      <c r="U35"/>
      <c r="V35"/>
      <c r="W35"/>
    </row>
    <row r="36" spans="1:23" ht="15" customHeight="1" x14ac:dyDescent="0.25">
      <c r="A36" s="22"/>
      <c r="B36" s="17"/>
      <c r="C36" s="89"/>
      <c r="D36" s="89"/>
      <c r="E36" s="89"/>
      <c r="F36" s="89"/>
      <c r="G36" s="89"/>
      <c r="H36" s="17"/>
      <c r="I36" s="18"/>
      <c r="J36" s="31"/>
      <c r="K36"/>
      <c r="L36"/>
      <c r="M36"/>
      <c r="N36"/>
      <c r="O36"/>
      <c r="P36"/>
      <c r="Q36"/>
      <c r="R36"/>
      <c r="S36"/>
      <c r="T36"/>
      <c r="U36"/>
      <c r="V36"/>
      <c r="W36"/>
    </row>
    <row r="37" spans="1:23" ht="15" customHeight="1" thickBot="1" x14ac:dyDescent="0.3">
      <c r="A37" s="24"/>
      <c r="B37" s="32"/>
      <c r="C37" s="32"/>
      <c r="D37" s="32"/>
      <c r="E37" s="32"/>
      <c r="F37" s="32"/>
      <c r="G37" s="32"/>
      <c r="H37" s="32"/>
      <c r="I37" s="33"/>
      <c r="J37" s="31"/>
      <c r="K37"/>
      <c r="L37"/>
      <c r="M37"/>
      <c r="N37"/>
      <c r="O37"/>
      <c r="P37"/>
      <c r="Q37"/>
      <c r="R37"/>
      <c r="S37"/>
      <c r="T37"/>
      <c r="U37"/>
      <c r="V37"/>
      <c r="W37"/>
    </row>
    <row r="38" spans="1:23" ht="15" customHeight="1" x14ac:dyDescent="0.25">
      <c r="J38" s="31"/>
      <c r="K38"/>
      <c r="L38"/>
      <c r="M38"/>
      <c r="N38"/>
      <c r="O38"/>
      <c r="P38"/>
      <c r="Q38"/>
      <c r="R38"/>
      <c r="S38"/>
      <c r="T38"/>
      <c r="U38"/>
      <c r="V38"/>
      <c r="W38"/>
    </row>
    <row r="39" spans="1:23" ht="15" customHeight="1" x14ac:dyDescent="0.25">
      <c r="J39" s="31"/>
      <c r="K39"/>
      <c r="L39"/>
      <c r="M39"/>
      <c r="N39"/>
      <c r="O39"/>
      <c r="P39"/>
      <c r="Q39"/>
      <c r="R39"/>
      <c r="S39"/>
      <c r="T39"/>
      <c r="U39"/>
      <c r="V39"/>
      <c r="W39"/>
    </row>
    <row r="40" spans="1:23" ht="15" customHeight="1" x14ac:dyDescent="0.25">
      <c r="J40" s="31"/>
      <c r="K40"/>
      <c r="L40"/>
      <c r="M40"/>
      <c r="N40"/>
      <c r="O40"/>
      <c r="P40"/>
      <c r="Q40"/>
      <c r="R40"/>
      <c r="S40"/>
      <c r="T40"/>
      <c r="U40"/>
      <c r="V40"/>
      <c r="W40"/>
    </row>
    <row r="41" spans="1:23" ht="15" customHeight="1" x14ac:dyDescent="0.25">
      <c r="J41" s="31"/>
      <c r="K41"/>
      <c r="L41"/>
      <c r="M41"/>
      <c r="N41"/>
      <c r="O41"/>
      <c r="P41"/>
      <c r="Q41"/>
      <c r="R41"/>
      <c r="S41"/>
      <c r="T41"/>
      <c r="U41"/>
      <c r="V41"/>
      <c r="W41"/>
    </row>
    <row r="42" spans="1:23" ht="15" customHeight="1" x14ac:dyDescent="0.25">
      <c r="J42" s="31"/>
      <c r="K42"/>
      <c r="L42"/>
      <c r="M42"/>
      <c r="N42"/>
      <c r="O42"/>
      <c r="P42"/>
      <c r="Q42"/>
      <c r="R42"/>
      <c r="S42"/>
      <c r="T42"/>
      <c r="U42"/>
      <c r="V42"/>
      <c r="W42"/>
    </row>
    <row r="43" spans="1:23" ht="15" customHeight="1" x14ac:dyDescent="0.25">
      <c r="J43" s="31"/>
      <c r="K43"/>
      <c r="L43"/>
      <c r="M43"/>
      <c r="N43"/>
      <c r="O43"/>
      <c r="P43"/>
      <c r="Q43"/>
      <c r="R43"/>
      <c r="S43"/>
      <c r="T43"/>
      <c r="U43"/>
      <c r="V43"/>
      <c r="W43"/>
    </row>
    <row r="44" spans="1:23" ht="15" customHeight="1" x14ac:dyDescent="0.25">
      <c r="J44" s="31"/>
      <c r="K44"/>
      <c r="L44"/>
      <c r="M44"/>
      <c r="N44"/>
      <c r="O44"/>
      <c r="P44"/>
      <c r="Q44"/>
      <c r="R44"/>
      <c r="S44"/>
      <c r="T44"/>
      <c r="U44"/>
      <c r="V44"/>
      <c r="W44"/>
    </row>
    <row r="45" spans="1:23" ht="15" customHeight="1" x14ac:dyDescent="0.25">
      <c r="J45" s="31"/>
      <c r="K45"/>
      <c r="L45"/>
      <c r="M45"/>
      <c r="N45"/>
      <c r="O45"/>
      <c r="P45"/>
      <c r="Q45"/>
      <c r="R45"/>
      <c r="S45"/>
      <c r="T45"/>
      <c r="U45"/>
      <c r="V45"/>
      <c r="W45"/>
    </row>
    <row r="46" spans="1:23" ht="15" customHeight="1" x14ac:dyDescent="0.25">
      <c r="B46" s="31"/>
      <c r="C46" s="31"/>
      <c r="D46" s="31"/>
      <c r="E46" s="31"/>
      <c r="F46" s="31"/>
      <c r="G46" s="31"/>
      <c r="H46" s="31"/>
      <c r="I46" s="31"/>
      <c r="J46" s="31"/>
      <c r="K46"/>
      <c r="L46"/>
      <c r="M46"/>
      <c r="N46"/>
      <c r="O46"/>
      <c r="P46"/>
      <c r="Q46"/>
      <c r="R46"/>
      <c r="S46"/>
      <c r="T46"/>
      <c r="U46"/>
      <c r="V46"/>
      <c r="W46"/>
    </row>
    <row r="47" spans="1:23" ht="15" customHeight="1" x14ac:dyDescent="0.25">
      <c r="B47" s="31"/>
      <c r="C47" s="31"/>
      <c r="D47" s="31"/>
      <c r="E47" s="31"/>
      <c r="F47" s="31"/>
      <c r="G47" s="31"/>
      <c r="H47" s="31"/>
      <c r="I47" s="31"/>
      <c r="J47" s="31"/>
      <c r="K47"/>
      <c r="L47"/>
      <c r="M47"/>
      <c r="N47"/>
      <c r="O47"/>
      <c r="P47"/>
      <c r="Q47"/>
      <c r="R47"/>
      <c r="S47"/>
      <c r="T47"/>
      <c r="U47"/>
      <c r="V47"/>
      <c r="W47"/>
    </row>
    <row r="48" spans="1:23" ht="15" customHeight="1" x14ac:dyDescent="0.25">
      <c r="B48" s="31"/>
      <c r="C48" s="31"/>
      <c r="D48" s="31"/>
      <c r="E48" s="31"/>
      <c r="F48" s="31"/>
      <c r="G48" s="31"/>
      <c r="H48" s="31"/>
      <c r="I48" s="31"/>
      <c r="J48" s="31"/>
      <c r="K48"/>
      <c r="L48"/>
      <c r="M48"/>
      <c r="N48"/>
      <c r="O48"/>
      <c r="P48"/>
      <c r="Q48"/>
      <c r="R48"/>
      <c r="S48"/>
      <c r="T48"/>
      <c r="U48"/>
      <c r="V48"/>
      <c r="W48"/>
    </row>
    <row r="49" spans="2:23" ht="15" customHeight="1" x14ac:dyDescent="0.25">
      <c r="B49" s="31"/>
      <c r="C49" s="31"/>
      <c r="D49" s="31"/>
      <c r="E49" s="31"/>
      <c r="F49" s="31"/>
      <c r="G49" s="31"/>
      <c r="H49" s="31"/>
      <c r="I49" s="31"/>
      <c r="J49" s="31"/>
      <c r="K49"/>
      <c r="L49"/>
      <c r="M49"/>
      <c r="N49"/>
      <c r="O49"/>
      <c r="P49"/>
      <c r="Q49"/>
      <c r="R49"/>
      <c r="S49"/>
      <c r="T49"/>
      <c r="U49"/>
      <c r="V49"/>
      <c r="W49"/>
    </row>
    <row r="50" spans="2:23" ht="15" customHeight="1" x14ac:dyDescent="0.25">
      <c r="B50" s="31"/>
      <c r="C50" s="31"/>
      <c r="D50" s="31"/>
      <c r="E50" s="31"/>
      <c r="F50" s="31"/>
      <c r="G50" s="31"/>
      <c r="H50" s="31"/>
      <c r="I50" s="31"/>
      <c r="J50" s="31"/>
      <c r="K50"/>
      <c r="L50"/>
      <c r="M50"/>
      <c r="N50"/>
      <c r="O50"/>
      <c r="P50"/>
      <c r="Q50"/>
      <c r="R50"/>
      <c r="S50"/>
      <c r="T50"/>
      <c r="U50"/>
      <c r="V50"/>
      <c r="W50"/>
    </row>
    <row r="51" spans="2:23" ht="15" customHeight="1" x14ac:dyDescent="0.25">
      <c r="B51" s="31"/>
      <c r="C51" s="31"/>
      <c r="D51" s="31"/>
      <c r="E51" s="31"/>
      <c r="F51" s="31"/>
      <c r="G51" s="31"/>
      <c r="H51" s="31"/>
      <c r="I51" s="31"/>
      <c r="J51" s="31"/>
      <c r="K51"/>
      <c r="L51"/>
      <c r="M51"/>
      <c r="N51"/>
      <c r="O51"/>
      <c r="P51"/>
      <c r="Q51"/>
      <c r="R51"/>
      <c r="S51"/>
      <c r="T51"/>
      <c r="U51"/>
      <c r="V51"/>
      <c r="W51"/>
    </row>
    <row r="52" spans="2:23" ht="15" customHeight="1" x14ac:dyDescent="0.25">
      <c r="B52" s="31"/>
      <c r="C52" s="31"/>
      <c r="D52" s="31"/>
      <c r="E52" s="31"/>
      <c r="F52" s="31"/>
      <c r="G52" s="31"/>
      <c r="H52" s="31"/>
      <c r="I52" s="31"/>
      <c r="J52" s="31"/>
      <c r="K52"/>
      <c r="L52"/>
      <c r="M52"/>
      <c r="N52"/>
      <c r="O52"/>
      <c r="P52"/>
      <c r="Q52"/>
      <c r="R52"/>
      <c r="S52"/>
      <c r="T52"/>
      <c r="U52"/>
      <c r="V52"/>
      <c r="W52"/>
    </row>
    <row r="53" spans="2:23" ht="15" customHeight="1" x14ac:dyDescent="0.25">
      <c r="B53" s="31"/>
      <c r="C53" s="31"/>
      <c r="D53" s="31"/>
      <c r="E53" s="31"/>
      <c r="F53" s="31"/>
      <c r="G53" s="31"/>
      <c r="H53" s="31"/>
      <c r="I53" s="31"/>
      <c r="J53" s="31"/>
      <c r="K53"/>
      <c r="L53"/>
      <c r="M53"/>
      <c r="N53"/>
      <c r="O53"/>
      <c r="P53"/>
      <c r="Q53"/>
      <c r="R53"/>
      <c r="S53"/>
      <c r="T53"/>
      <c r="U53"/>
      <c r="V53"/>
      <c r="W53"/>
    </row>
    <row r="54" spans="2:23" ht="15" customHeight="1" x14ac:dyDescent="0.25">
      <c r="B54" s="31"/>
      <c r="C54" s="31"/>
      <c r="D54" s="31"/>
      <c r="E54" s="31"/>
      <c r="F54" s="31"/>
      <c r="G54" s="31"/>
      <c r="H54" s="31"/>
      <c r="I54" s="31"/>
      <c r="J54" s="31"/>
      <c r="K54"/>
      <c r="L54"/>
      <c r="M54"/>
      <c r="N54"/>
      <c r="O54"/>
      <c r="P54"/>
      <c r="Q54"/>
      <c r="R54"/>
      <c r="S54"/>
      <c r="T54"/>
      <c r="U54"/>
      <c r="V54"/>
      <c r="W54"/>
    </row>
    <row r="55" spans="2:23" ht="15" customHeight="1" x14ac:dyDescent="0.25">
      <c r="B55" s="31"/>
      <c r="C55" s="31"/>
      <c r="D55" s="31"/>
      <c r="E55" s="31"/>
      <c r="F55" s="31"/>
      <c r="G55" s="31"/>
      <c r="H55" s="31"/>
      <c r="I55" s="31"/>
      <c r="J55" s="31"/>
      <c r="K55"/>
      <c r="L55"/>
      <c r="M55"/>
      <c r="N55"/>
      <c r="O55"/>
      <c r="P55"/>
      <c r="Q55"/>
      <c r="R55"/>
      <c r="S55"/>
      <c r="T55"/>
      <c r="U55"/>
      <c r="V55"/>
      <c r="W55"/>
    </row>
    <row r="56" spans="2:23" ht="15" customHeight="1" x14ac:dyDescent="0.25">
      <c r="B56" s="31"/>
      <c r="C56" s="31"/>
      <c r="D56" s="31"/>
      <c r="E56" s="31"/>
      <c r="F56" s="31"/>
      <c r="G56" s="31"/>
      <c r="H56" s="31"/>
      <c r="I56" s="31"/>
      <c r="J56" s="31"/>
      <c r="K56"/>
      <c r="L56"/>
      <c r="M56"/>
      <c r="N56"/>
      <c r="O56"/>
      <c r="P56"/>
      <c r="Q56"/>
      <c r="R56"/>
      <c r="S56"/>
      <c r="T56"/>
      <c r="U56"/>
      <c r="V56"/>
      <c r="W56"/>
    </row>
    <row r="57" spans="2:23" ht="15" customHeight="1" x14ac:dyDescent="0.25">
      <c r="B57" s="31"/>
      <c r="C57" s="31"/>
      <c r="D57" s="31"/>
      <c r="E57" s="31"/>
      <c r="F57" s="31"/>
      <c r="G57" s="31"/>
      <c r="H57" s="31"/>
      <c r="I57" s="31"/>
      <c r="J57" s="31"/>
      <c r="K57"/>
      <c r="L57"/>
      <c r="M57"/>
      <c r="N57"/>
      <c r="O57"/>
      <c r="P57"/>
      <c r="Q57"/>
      <c r="R57"/>
      <c r="S57"/>
      <c r="T57"/>
      <c r="U57"/>
      <c r="V57"/>
      <c r="W57"/>
    </row>
    <row r="58" spans="2:23" ht="15" customHeight="1" x14ac:dyDescent="0.25">
      <c r="B58" s="31"/>
      <c r="C58" s="31"/>
      <c r="D58" s="31"/>
      <c r="E58" s="31"/>
      <c r="F58" s="31"/>
      <c r="G58" s="31"/>
      <c r="H58" s="31"/>
      <c r="I58" s="31"/>
      <c r="J58" s="31"/>
      <c r="K58"/>
      <c r="L58"/>
      <c r="M58"/>
      <c r="N58"/>
      <c r="O58"/>
      <c r="P58"/>
      <c r="Q58"/>
      <c r="R58"/>
      <c r="S58"/>
      <c r="T58"/>
      <c r="U58"/>
      <c r="V58"/>
      <c r="W58"/>
    </row>
    <row r="59" spans="2:23" ht="15" customHeight="1" x14ac:dyDescent="0.25">
      <c r="B59" s="31"/>
      <c r="C59" s="31"/>
      <c r="D59" s="31"/>
      <c r="E59" s="31"/>
      <c r="F59" s="31"/>
      <c r="G59" s="31"/>
      <c r="H59" s="31"/>
      <c r="I59" s="31"/>
      <c r="J59" s="31"/>
      <c r="K59"/>
      <c r="L59"/>
      <c r="M59"/>
      <c r="N59"/>
      <c r="O59"/>
      <c r="P59"/>
      <c r="Q59"/>
      <c r="R59"/>
      <c r="S59"/>
      <c r="T59"/>
      <c r="U59"/>
      <c r="V59"/>
      <c r="W59"/>
    </row>
    <row r="60" spans="2:23" ht="15" customHeight="1" x14ac:dyDescent="0.25">
      <c r="B60" s="31"/>
      <c r="C60" s="31"/>
      <c r="D60" s="31"/>
      <c r="E60" s="31"/>
      <c r="F60" s="31"/>
      <c r="G60" s="31"/>
      <c r="H60" s="31"/>
      <c r="I60" s="31"/>
      <c r="J60" s="31"/>
      <c r="K60"/>
      <c r="L60"/>
      <c r="M60"/>
      <c r="N60"/>
      <c r="O60"/>
      <c r="P60"/>
      <c r="Q60"/>
      <c r="R60"/>
      <c r="S60"/>
      <c r="T60"/>
      <c r="U60"/>
      <c r="V60"/>
      <c r="W60"/>
    </row>
    <row r="61" spans="2:23" ht="15" customHeight="1" x14ac:dyDescent="0.25">
      <c r="B61" s="31"/>
      <c r="C61" s="31"/>
      <c r="D61" s="31"/>
      <c r="E61" s="31"/>
      <c r="F61" s="31"/>
      <c r="G61" s="31"/>
      <c r="H61" s="31"/>
      <c r="I61" s="31"/>
      <c r="J61" s="31"/>
      <c r="K61"/>
      <c r="L61"/>
      <c r="M61"/>
      <c r="N61"/>
      <c r="O61"/>
      <c r="P61"/>
      <c r="Q61"/>
      <c r="R61"/>
      <c r="S61"/>
      <c r="T61"/>
      <c r="U61"/>
      <c r="V61"/>
      <c r="W61"/>
    </row>
    <row r="62" spans="2:23" ht="15" customHeight="1" x14ac:dyDescent="0.25">
      <c r="B62" s="31"/>
      <c r="C62" s="31"/>
      <c r="D62" s="31"/>
      <c r="E62" s="31"/>
      <c r="F62" s="31"/>
      <c r="G62" s="31"/>
      <c r="H62" s="31"/>
      <c r="I62" s="31"/>
      <c r="J62" s="31"/>
      <c r="K62"/>
      <c r="L62"/>
      <c r="M62"/>
      <c r="N62"/>
      <c r="O62"/>
      <c r="P62"/>
      <c r="Q62"/>
      <c r="R62"/>
      <c r="S62"/>
      <c r="T62"/>
      <c r="U62"/>
      <c r="V62"/>
      <c r="W62"/>
    </row>
    <row r="63" spans="2:23" ht="15" customHeight="1" x14ac:dyDescent="0.25">
      <c r="B63" s="31"/>
      <c r="C63" s="31"/>
      <c r="D63" s="31"/>
      <c r="E63" s="31"/>
      <c r="F63" s="31"/>
      <c r="G63" s="31"/>
      <c r="H63" s="31"/>
      <c r="I63" s="31"/>
      <c r="J63" s="31"/>
      <c r="K63"/>
      <c r="L63"/>
      <c r="M63"/>
      <c r="N63"/>
      <c r="O63"/>
      <c r="P63"/>
      <c r="Q63"/>
      <c r="R63"/>
      <c r="S63"/>
      <c r="T63"/>
      <c r="U63"/>
      <c r="V63"/>
      <c r="W63"/>
    </row>
    <row r="64" spans="2:23" ht="15" customHeight="1" x14ac:dyDescent="0.25">
      <c r="B64" s="31"/>
      <c r="C64" s="31"/>
      <c r="D64" s="31"/>
      <c r="E64" s="31"/>
      <c r="F64" s="31"/>
      <c r="G64" s="31"/>
      <c r="H64" s="31"/>
      <c r="I64" s="31"/>
      <c r="J64" s="31"/>
      <c r="K64"/>
      <c r="L64"/>
      <c r="M64"/>
      <c r="N64"/>
      <c r="O64"/>
      <c r="P64"/>
      <c r="Q64"/>
      <c r="R64"/>
      <c r="S64"/>
      <c r="T64"/>
      <c r="U64"/>
      <c r="V64"/>
      <c r="W64"/>
    </row>
    <row r="65" spans="2:23" ht="15" customHeight="1" x14ac:dyDescent="0.25">
      <c r="B65" s="31"/>
      <c r="C65" s="31"/>
      <c r="D65" s="31"/>
      <c r="E65" s="31"/>
      <c r="F65" s="31"/>
      <c r="G65" s="31"/>
      <c r="H65" s="31"/>
      <c r="I65" s="31"/>
      <c r="J65" s="31"/>
      <c r="K65"/>
      <c r="L65"/>
      <c r="M65"/>
      <c r="N65"/>
      <c r="O65"/>
      <c r="P65"/>
      <c r="Q65"/>
      <c r="R65"/>
      <c r="S65"/>
      <c r="T65"/>
      <c r="U65"/>
      <c r="V65"/>
      <c r="W65"/>
    </row>
    <row r="66" spans="2:23" ht="15" customHeight="1" x14ac:dyDescent="0.25">
      <c r="B66" s="31"/>
      <c r="C66" s="31"/>
      <c r="D66" s="31"/>
      <c r="E66" s="31"/>
      <c r="F66" s="31"/>
      <c r="G66" s="31"/>
      <c r="H66" s="31"/>
      <c r="I66" s="31"/>
      <c r="J66" s="31"/>
      <c r="K66"/>
      <c r="L66"/>
      <c r="M66"/>
      <c r="N66"/>
      <c r="O66"/>
      <c r="P66"/>
      <c r="Q66"/>
      <c r="R66"/>
      <c r="S66"/>
      <c r="T66"/>
      <c r="U66"/>
      <c r="V66"/>
      <c r="W66"/>
    </row>
    <row r="67" spans="2:23" ht="15" customHeight="1" x14ac:dyDescent="0.25">
      <c r="B67" s="31"/>
      <c r="C67" s="31"/>
      <c r="D67" s="31"/>
      <c r="E67" s="31"/>
      <c r="F67" s="31"/>
      <c r="G67" s="31"/>
      <c r="H67" s="31"/>
      <c r="I67" s="31"/>
      <c r="J67" s="31"/>
      <c r="K67"/>
      <c r="L67"/>
      <c r="M67"/>
      <c r="N67"/>
      <c r="O67"/>
      <c r="P67"/>
      <c r="Q67"/>
      <c r="R67"/>
      <c r="S67"/>
      <c r="T67"/>
      <c r="U67"/>
      <c r="V67"/>
      <c r="W67"/>
    </row>
    <row r="68" spans="2:23" ht="15" customHeight="1" x14ac:dyDescent="0.25">
      <c r="B68" s="31"/>
      <c r="C68" s="31"/>
      <c r="D68" s="31"/>
      <c r="E68" s="31"/>
      <c r="F68" s="31"/>
      <c r="G68" s="31"/>
      <c r="H68" s="31"/>
      <c r="I68" s="31"/>
      <c r="J68" s="31"/>
      <c r="K68"/>
      <c r="L68"/>
      <c r="M68"/>
      <c r="N68"/>
      <c r="O68"/>
      <c r="P68"/>
      <c r="Q68"/>
      <c r="R68"/>
      <c r="S68"/>
      <c r="T68"/>
      <c r="U68"/>
      <c r="V68"/>
      <c r="W68"/>
    </row>
    <row r="69" spans="2:23" ht="15" customHeight="1" x14ac:dyDescent="0.25">
      <c r="B69" s="31"/>
      <c r="C69" s="31"/>
      <c r="D69" s="31"/>
      <c r="E69" s="31"/>
      <c r="F69" s="31"/>
      <c r="G69" s="31"/>
      <c r="H69" s="31"/>
      <c r="I69" s="31"/>
      <c r="J69" s="31"/>
      <c r="K69"/>
      <c r="L69"/>
      <c r="M69"/>
      <c r="N69"/>
      <c r="O69"/>
      <c r="P69"/>
      <c r="Q69"/>
      <c r="R69"/>
      <c r="S69"/>
      <c r="T69"/>
      <c r="U69"/>
      <c r="V69"/>
      <c r="W69"/>
    </row>
    <row r="70" spans="2:23" ht="15" customHeight="1" x14ac:dyDescent="0.25">
      <c r="B70" s="31"/>
      <c r="C70" s="31"/>
      <c r="D70" s="31"/>
      <c r="E70" s="31"/>
      <c r="F70" s="31"/>
      <c r="G70" s="31"/>
      <c r="H70" s="31"/>
      <c r="I70" s="31"/>
      <c r="J70" s="31"/>
      <c r="K70"/>
      <c r="L70"/>
      <c r="M70"/>
      <c r="N70"/>
      <c r="O70"/>
      <c r="P70"/>
      <c r="Q70"/>
      <c r="R70"/>
      <c r="S70"/>
      <c r="T70"/>
      <c r="U70"/>
      <c r="V70"/>
      <c r="W70"/>
    </row>
    <row r="71" spans="2:23" ht="15" customHeight="1" x14ac:dyDescent="0.25">
      <c r="B71" s="31"/>
      <c r="C71" s="31"/>
      <c r="D71" s="31"/>
      <c r="E71" s="31"/>
      <c r="F71" s="31"/>
      <c r="G71" s="31"/>
      <c r="H71" s="31"/>
      <c r="I71" s="31"/>
      <c r="J71" s="31"/>
      <c r="K71"/>
      <c r="L71"/>
      <c r="M71"/>
      <c r="N71"/>
      <c r="O71"/>
      <c r="P71"/>
      <c r="Q71"/>
      <c r="R71"/>
      <c r="S71"/>
      <c r="T71"/>
      <c r="U71"/>
      <c r="V71"/>
      <c r="W71"/>
    </row>
    <row r="72" spans="2:23" ht="15" customHeight="1" x14ac:dyDescent="0.25">
      <c r="B72" s="31"/>
      <c r="C72" s="31"/>
      <c r="D72" s="31"/>
      <c r="E72" s="31"/>
      <c r="F72" s="31"/>
      <c r="G72" s="31"/>
      <c r="H72" s="31"/>
      <c r="I72" s="31"/>
      <c r="J72" s="31"/>
      <c r="K72"/>
      <c r="L72"/>
      <c r="M72"/>
      <c r="N72"/>
      <c r="O72"/>
      <c r="P72"/>
      <c r="Q72"/>
      <c r="R72"/>
      <c r="S72"/>
      <c r="T72"/>
      <c r="U72"/>
      <c r="V72"/>
      <c r="W72"/>
    </row>
    <row r="73" spans="2:23" ht="15" customHeight="1" x14ac:dyDescent="0.25">
      <c r="B73" s="31"/>
      <c r="C73" s="31"/>
      <c r="D73" s="31"/>
      <c r="E73" s="31"/>
      <c r="F73" s="31"/>
      <c r="G73" s="31"/>
      <c r="H73" s="31"/>
      <c r="I73" s="31"/>
      <c r="J73" s="31"/>
      <c r="K73"/>
      <c r="L73"/>
      <c r="M73"/>
      <c r="N73"/>
      <c r="O73"/>
      <c r="P73"/>
      <c r="Q73"/>
      <c r="R73"/>
      <c r="S73"/>
      <c r="T73"/>
      <c r="U73"/>
      <c r="V73"/>
      <c r="W73"/>
    </row>
    <row r="74" spans="2:23" ht="15" customHeight="1" x14ac:dyDescent="0.25">
      <c r="B74" s="31"/>
      <c r="C74" s="31"/>
      <c r="D74" s="31"/>
      <c r="E74" s="31"/>
      <c r="F74" s="31"/>
      <c r="G74" s="31"/>
      <c r="H74" s="31"/>
      <c r="I74" s="31"/>
      <c r="J74" s="31"/>
      <c r="K74"/>
      <c r="L74"/>
      <c r="M74"/>
      <c r="N74"/>
      <c r="O74"/>
      <c r="P74"/>
      <c r="Q74"/>
      <c r="R74"/>
      <c r="S74"/>
      <c r="T74"/>
      <c r="U74"/>
      <c r="V74"/>
      <c r="W74"/>
    </row>
    <row r="75" spans="2:23" ht="15" customHeight="1" x14ac:dyDescent="0.25">
      <c r="B75" s="31"/>
      <c r="C75" s="31"/>
      <c r="D75" s="31"/>
      <c r="E75" s="31"/>
      <c r="F75" s="31"/>
      <c r="G75" s="31"/>
      <c r="H75" s="31"/>
      <c r="I75" s="31"/>
      <c r="J75" s="31"/>
      <c r="K75"/>
      <c r="L75"/>
      <c r="M75"/>
      <c r="N75"/>
      <c r="O75"/>
      <c r="P75"/>
      <c r="Q75"/>
      <c r="R75"/>
      <c r="S75"/>
      <c r="T75"/>
      <c r="U75"/>
      <c r="V75"/>
      <c r="W75"/>
    </row>
    <row r="76" spans="2:23" ht="15" customHeight="1" x14ac:dyDescent="0.25">
      <c r="B76" s="31"/>
      <c r="C76" s="31"/>
      <c r="D76" s="31"/>
      <c r="E76" s="31"/>
      <c r="F76" s="31"/>
      <c r="G76" s="31"/>
      <c r="H76" s="31"/>
      <c r="I76" s="31"/>
      <c r="J76" s="31"/>
      <c r="K76"/>
      <c r="L76"/>
      <c r="M76"/>
      <c r="N76"/>
      <c r="O76"/>
      <c r="P76"/>
      <c r="Q76"/>
      <c r="R76"/>
      <c r="S76"/>
      <c r="T76"/>
      <c r="U76"/>
      <c r="V76"/>
      <c r="W76"/>
    </row>
    <row r="77" spans="2:23" ht="15" customHeight="1" x14ac:dyDescent="0.25">
      <c r="B77" s="31"/>
      <c r="C77" s="31"/>
      <c r="D77" s="31"/>
      <c r="E77" s="31"/>
      <c r="F77" s="31"/>
      <c r="G77" s="31"/>
      <c r="H77" s="31"/>
      <c r="I77" s="31"/>
      <c r="J77" s="31"/>
      <c r="K77"/>
      <c r="L77"/>
      <c r="M77"/>
      <c r="N77"/>
      <c r="O77"/>
      <c r="P77"/>
      <c r="Q77"/>
      <c r="R77"/>
      <c r="S77"/>
      <c r="T77"/>
      <c r="U77"/>
      <c r="V77"/>
      <c r="W77"/>
    </row>
    <row r="78" spans="2:23" ht="15" customHeight="1" x14ac:dyDescent="0.25">
      <c r="B78" s="31"/>
      <c r="C78" s="31"/>
      <c r="D78" s="31"/>
      <c r="E78" s="31"/>
      <c r="F78" s="31"/>
      <c r="G78" s="31"/>
      <c r="H78" s="31"/>
      <c r="I78" s="31"/>
      <c r="J78" s="31"/>
      <c r="K78"/>
      <c r="L78"/>
      <c r="M78"/>
      <c r="N78"/>
      <c r="O78"/>
      <c r="P78"/>
      <c r="Q78"/>
      <c r="R78"/>
      <c r="S78"/>
      <c r="T78"/>
      <c r="U78"/>
      <c r="V78"/>
      <c r="W78"/>
    </row>
    <row r="79" spans="2:23" ht="15" customHeight="1" x14ac:dyDescent="0.25">
      <c r="B79" s="31"/>
      <c r="C79" s="31"/>
      <c r="D79" s="31"/>
      <c r="E79" s="31"/>
      <c r="F79" s="31"/>
      <c r="G79" s="31"/>
      <c r="H79" s="31"/>
      <c r="I79" s="31"/>
      <c r="J79" s="31"/>
      <c r="K79"/>
      <c r="L79"/>
      <c r="M79"/>
      <c r="N79"/>
      <c r="O79"/>
      <c r="P79"/>
      <c r="Q79"/>
      <c r="R79"/>
      <c r="S79"/>
      <c r="T79"/>
      <c r="U79"/>
      <c r="V79"/>
      <c r="W79"/>
    </row>
    <row r="80" spans="2:23" ht="15" customHeight="1" x14ac:dyDescent="0.25">
      <c r="B80" s="31"/>
      <c r="C80" s="31"/>
      <c r="D80" s="31"/>
      <c r="E80" s="31"/>
      <c r="F80" s="31"/>
      <c r="G80" s="31"/>
      <c r="H80" s="31"/>
      <c r="I80" s="31"/>
      <c r="J80" s="31"/>
      <c r="K80"/>
      <c r="L80"/>
      <c r="M80"/>
      <c r="N80"/>
      <c r="O80"/>
      <c r="P80"/>
      <c r="Q80"/>
      <c r="R80"/>
      <c r="S80"/>
      <c r="T80"/>
      <c r="U80"/>
      <c r="V80"/>
      <c r="W80"/>
    </row>
    <row r="81" spans="2:23" ht="15" customHeight="1" x14ac:dyDescent="0.25">
      <c r="B81" s="31"/>
      <c r="C81" s="31"/>
      <c r="D81" s="31"/>
      <c r="E81" s="31"/>
      <c r="F81" s="31"/>
      <c r="G81" s="31"/>
      <c r="H81" s="31"/>
      <c r="I81" s="31"/>
      <c r="J81" s="31"/>
      <c r="K81"/>
      <c r="L81"/>
      <c r="M81"/>
      <c r="N81"/>
      <c r="O81"/>
      <c r="P81"/>
      <c r="Q81"/>
      <c r="R81"/>
      <c r="S81"/>
      <c r="T81"/>
      <c r="U81"/>
      <c r="V81"/>
      <c r="W81"/>
    </row>
    <row r="82" spans="2:23" ht="15" customHeight="1" x14ac:dyDescent="0.25">
      <c r="B82" s="31"/>
      <c r="C82" s="31"/>
      <c r="D82" s="31"/>
      <c r="E82" s="31"/>
      <c r="F82" s="31"/>
      <c r="G82" s="31"/>
      <c r="H82" s="31"/>
      <c r="I82" s="31"/>
      <c r="J82" s="31"/>
      <c r="K82"/>
      <c r="L82"/>
      <c r="M82"/>
      <c r="N82"/>
      <c r="O82"/>
      <c r="P82"/>
      <c r="Q82"/>
      <c r="R82"/>
      <c r="S82"/>
      <c r="T82"/>
      <c r="U82"/>
      <c r="V82"/>
      <c r="W82"/>
    </row>
    <row r="83" spans="2:23" ht="15" customHeight="1" x14ac:dyDescent="0.25">
      <c r="B83" s="31"/>
      <c r="C83" s="31"/>
      <c r="D83" s="31"/>
      <c r="E83" s="31"/>
      <c r="F83" s="31"/>
      <c r="G83" s="31"/>
      <c r="H83" s="31"/>
      <c r="I83" s="31"/>
      <c r="J83" s="31"/>
      <c r="K83"/>
      <c r="L83"/>
      <c r="M83"/>
      <c r="N83"/>
      <c r="O83"/>
      <c r="P83"/>
      <c r="Q83"/>
      <c r="R83"/>
      <c r="S83"/>
      <c r="T83"/>
      <c r="U83"/>
      <c r="V83"/>
      <c r="W83"/>
    </row>
    <row r="84" spans="2:23" ht="15" customHeight="1" x14ac:dyDescent="0.25">
      <c r="B84" s="31"/>
      <c r="C84" s="31"/>
      <c r="D84" s="31"/>
      <c r="E84" s="31"/>
      <c r="F84" s="31"/>
      <c r="G84" s="31"/>
      <c r="H84" s="31"/>
      <c r="I84" s="31"/>
      <c r="J84" s="31"/>
      <c r="K84"/>
      <c r="L84"/>
      <c r="M84"/>
      <c r="N84"/>
      <c r="O84"/>
      <c r="P84"/>
      <c r="Q84"/>
      <c r="R84"/>
      <c r="S84"/>
      <c r="T84"/>
      <c r="U84"/>
      <c r="V84"/>
      <c r="W84"/>
    </row>
    <row r="85" spans="2:23" ht="15" customHeight="1" x14ac:dyDescent="0.25">
      <c r="B85" s="31"/>
      <c r="C85" s="31"/>
      <c r="D85" s="31"/>
      <c r="E85" s="31"/>
      <c r="F85" s="31"/>
      <c r="G85" s="31"/>
      <c r="H85" s="31"/>
      <c r="I85" s="31"/>
      <c r="J85" s="31"/>
      <c r="K85"/>
      <c r="L85"/>
      <c r="M85"/>
      <c r="N85"/>
      <c r="O85"/>
      <c r="P85"/>
      <c r="Q85"/>
      <c r="R85"/>
      <c r="S85"/>
      <c r="T85"/>
      <c r="U85"/>
      <c r="V85"/>
      <c r="W85"/>
    </row>
    <row r="86" spans="2:23" ht="15" customHeight="1" x14ac:dyDescent="0.25">
      <c r="B86" s="31"/>
      <c r="C86" s="31"/>
      <c r="D86" s="31"/>
      <c r="E86" s="31"/>
      <c r="F86" s="31"/>
      <c r="G86" s="31"/>
      <c r="H86" s="31"/>
      <c r="I86" s="31"/>
      <c r="J86" s="31"/>
      <c r="K86"/>
      <c r="L86"/>
      <c r="M86"/>
      <c r="N86"/>
      <c r="O86"/>
      <c r="P86"/>
      <c r="Q86"/>
      <c r="R86"/>
      <c r="S86"/>
      <c r="T86"/>
      <c r="U86"/>
      <c r="V86"/>
      <c r="W86"/>
    </row>
    <row r="87" spans="2:23" ht="15" customHeight="1" x14ac:dyDescent="0.25">
      <c r="B87" s="31"/>
      <c r="C87" s="31"/>
      <c r="D87" s="31"/>
      <c r="E87" s="31"/>
      <c r="F87" s="31"/>
      <c r="G87" s="31"/>
      <c r="H87" s="31"/>
      <c r="I87" s="31"/>
      <c r="J87" s="31"/>
      <c r="K87"/>
      <c r="L87"/>
      <c r="M87"/>
      <c r="N87"/>
      <c r="O87"/>
      <c r="P87"/>
      <c r="Q87"/>
      <c r="R87"/>
      <c r="S87"/>
      <c r="T87"/>
      <c r="U87"/>
      <c r="V87"/>
      <c r="W87"/>
    </row>
    <row r="88" spans="2:23" ht="15" customHeight="1" x14ac:dyDescent="0.25">
      <c r="B88" s="31"/>
      <c r="C88" s="31"/>
      <c r="D88" s="31"/>
      <c r="E88" s="31"/>
      <c r="F88" s="31"/>
      <c r="G88" s="31"/>
      <c r="H88" s="31"/>
      <c r="I88" s="31"/>
      <c r="J88" s="31"/>
      <c r="K88"/>
      <c r="L88"/>
      <c r="M88"/>
      <c r="N88"/>
      <c r="O88"/>
      <c r="P88"/>
      <c r="Q88"/>
      <c r="R88"/>
      <c r="S88"/>
      <c r="T88"/>
      <c r="U88"/>
      <c r="V88"/>
      <c r="W88"/>
    </row>
    <row r="89" spans="2:23" ht="15" customHeight="1" x14ac:dyDescent="0.25">
      <c r="B89" s="31"/>
      <c r="C89" s="31"/>
      <c r="D89" s="31"/>
      <c r="E89" s="31"/>
      <c r="F89" s="31"/>
      <c r="G89" s="31"/>
      <c r="H89" s="31"/>
      <c r="I89" s="31"/>
      <c r="J89" s="31"/>
      <c r="K89"/>
      <c r="L89"/>
      <c r="M89"/>
      <c r="N89"/>
      <c r="O89"/>
      <c r="P89"/>
      <c r="Q89"/>
      <c r="R89"/>
      <c r="S89"/>
      <c r="T89"/>
      <c r="U89"/>
      <c r="V89"/>
      <c r="W89"/>
    </row>
    <row r="90" spans="2:23" ht="15" customHeight="1" x14ac:dyDescent="0.25">
      <c r="B90" s="31"/>
      <c r="C90" s="31"/>
      <c r="D90" s="31"/>
      <c r="E90" s="31"/>
      <c r="F90" s="31"/>
      <c r="G90" s="31"/>
      <c r="H90" s="31"/>
      <c r="I90" s="31"/>
      <c r="J90" s="31"/>
      <c r="K90"/>
      <c r="L90"/>
      <c r="M90"/>
      <c r="N90"/>
      <c r="O90"/>
      <c r="P90"/>
      <c r="Q90"/>
      <c r="R90"/>
      <c r="S90"/>
      <c r="T90"/>
      <c r="U90"/>
      <c r="V90"/>
      <c r="W90"/>
    </row>
    <row r="91" spans="2:23" ht="15" customHeight="1" x14ac:dyDescent="0.25">
      <c r="B91" s="31"/>
      <c r="C91" s="31"/>
      <c r="D91" s="31"/>
      <c r="E91" s="31"/>
      <c r="F91" s="31"/>
      <c r="G91" s="31"/>
      <c r="H91" s="31"/>
      <c r="I91" s="31"/>
      <c r="J91" s="31"/>
      <c r="K91"/>
      <c r="L91"/>
      <c r="M91"/>
      <c r="N91"/>
      <c r="O91"/>
      <c r="P91"/>
      <c r="Q91"/>
      <c r="R91"/>
      <c r="S91"/>
      <c r="T91"/>
      <c r="U91"/>
      <c r="V91"/>
      <c r="W91"/>
    </row>
    <row r="92" spans="2:23" ht="15" customHeight="1" x14ac:dyDescent="0.25">
      <c r="B92" s="31"/>
      <c r="C92" s="31"/>
      <c r="D92" s="31"/>
      <c r="E92" s="31"/>
      <c r="F92" s="31"/>
      <c r="G92" s="31"/>
      <c r="H92" s="31"/>
      <c r="I92" s="31"/>
      <c r="J92" s="31"/>
      <c r="K92"/>
      <c r="L92"/>
      <c r="M92"/>
      <c r="N92"/>
      <c r="O92"/>
      <c r="P92"/>
      <c r="Q92"/>
      <c r="R92"/>
      <c r="S92"/>
      <c r="T92"/>
      <c r="U92"/>
      <c r="V92"/>
      <c r="W92"/>
    </row>
    <row r="93" spans="2:23" ht="15" customHeight="1" x14ac:dyDescent="0.25">
      <c r="B93" s="31"/>
      <c r="C93" s="31"/>
      <c r="D93" s="31"/>
      <c r="E93" s="31"/>
      <c r="F93" s="31"/>
      <c r="G93" s="31"/>
      <c r="H93" s="31"/>
      <c r="I93" s="31"/>
      <c r="J93" s="31"/>
      <c r="K93"/>
      <c r="L93"/>
      <c r="M93"/>
      <c r="N93"/>
      <c r="O93"/>
      <c r="P93"/>
      <c r="Q93"/>
      <c r="R93"/>
      <c r="S93"/>
      <c r="T93"/>
      <c r="U93"/>
      <c r="V93"/>
      <c r="W93"/>
    </row>
    <row r="94" spans="2:23" ht="15" customHeight="1" x14ac:dyDescent="0.25">
      <c r="B94" s="31"/>
      <c r="C94" s="31"/>
      <c r="D94" s="31"/>
      <c r="E94" s="31"/>
      <c r="F94" s="31"/>
      <c r="G94" s="31"/>
      <c r="H94" s="31"/>
      <c r="I94" s="31"/>
      <c r="J94" s="31"/>
      <c r="K94"/>
      <c r="L94"/>
      <c r="M94"/>
      <c r="N94"/>
      <c r="O94"/>
      <c r="P94"/>
      <c r="Q94"/>
      <c r="R94"/>
      <c r="S94"/>
      <c r="T94"/>
      <c r="U94"/>
      <c r="V94"/>
      <c r="W94"/>
    </row>
    <row r="95" spans="2:23" ht="15" customHeight="1" x14ac:dyDescent="0.25">
      <c r="B95" s="31"/>
      <c r="C95" s="31"/>
      <c r="D95" s="31"/>
      <c r="E95" s="31"/>
      <c r="F95" s="31"/>
      <c r="G95" s="31"/>
      <c r="H95" s="31"/>
      <c r="I95" s="31"/>
      <c r="J95" s="31"/>
      <c r="K95"/>
      <c r="L95"/>
      <c r="M95"/>
      <c r="N95"/>
      <c r="O95"/>
      <c r="P95"/>
      <c r="Q95"/>
      <c r="R95"/>
      <c r="S95"/>
      <c r="T95"/>
      <c r="U95"/>
      <c r="V95"/>
      <c r="W95"/>
    </row>
    <row r="96" spans="2:23" ht="15" customHeight="1" x14ac:dyDescent="0.25">
      <c r="B96" s="31"/>
      <c r="C96" s="31"/>
      <c r="D96" s="31"/>
      <c r="E96" s="31"/>
      <c r="F96" s="31"/>
      <c r="G96" s="31"/>
      <c r="H96" s="31"/>
      <c r="I96" s="31"/>
      <c r="J96" s="31"/>
      <c r="K96"/>
      <c r="L96"/>
      <c r="M96"/>
      <c r="N96"/>
      <c r="O96"/>
      <c r="P96"/>
      <c r="Q96"/>
      <c r="R96"/>
      <c r="S96"/>
      <c r="T96"/>
      <c r="U96"/>
      <c r="V96"/>
      <c r="W96"/>
    </row>
    <row r="97" spans="2:23" ht="15" customHeight="1" x14ac:dyDescent="0.25">
      <c r="B97" s="31"/>
      <c r="C97" s="31"/>
      <c r="D97" s="31"/>
      <c r="E97" s="31"/>
      <c r="F97" s="31"/>
      <c r="G97" s="31"/>
      <c r="H97" s="31"/>
      <c r="I97" s="31"/>
      <c r="J97" s="31"/>
      <c r="K97"/>
      <c r="L97"/>
      <c r="M97"/>
      <c r="N97"/>
      <c r="O97"/>
      <c r="P97"/>
      <c r="Q97"/>
      <c r="R97"/>
      <c r="S97"/>
      <c r="T97"/>
      <c r="U97"/>
      <c r="V97"/>
      <c r="W97"/>
    </row>
    <row r="98" spans="2:23" ht="15" customHeight="1" x14ac:dyDescent="0.25">
      <c r="B98" s="31"/>
      <c r="C98" s="31"/>
      <c r="D98" s="31"/>
      <c r="E98" s="31"/>
      <c r="F98" s="31"/>
      <c r="G98" s="31"/>
      <c r="H98" s="31"/>
      <c r="I98" s="31"/>
      <c r="J98" s="31"/>
      <c r="K98"/>
      <c r="L98"/>
      <c r="M98"/>
      <c r="N98"/>
      <c r="O98"/>
      <c r="P98"/>
      <c r="Q98"/>
      <c r="R98"/>
      <c r="S98"/>
      <c r="T98"/>
      <c r="U98"/>
      <c r="V98"/>
      <c r="W98"/>
    </row>
    <row r="99" spans="2:23" ht="15" customHeight="1" x14ac:dyDescent="0.25">
      <c r="B99" s="31"/>
      <c r="C99" s="31"/>
      <c r="D99" s="31"/>
      <c r="E99" s="31"/>
      <c r="F99" s="31"/>
      <c r="G99" s="31"/>
      <c r="H99" s="31"/>
      <c r="I99" s="31"/>
      <c r="J99" s="31"/>
      <c r="K99"/>
      <c r="L99"/>
      <c r="M99"/>
      <c r="N99"/>
      <c r="O99"/>
      <c r="P99"/>
      <c r="Q99"/>
      <c r="R99"/>
      <c r="S99"/>
      <c r="T99"/>
      <c r="U99"/>
      <c r="V99"/>
      <c r="W99"/>
    </row>
    <row r="100" spans="2:23" ht="15" customHeight="1" x14ac:dyDescent="0.25">
      <c r="B100" s="31"/>
      <c r="C100" s="31"/>
      <c r="D100" s="31"/>
      <c r="E100" s="31"/>
      <c r="F100" s="31"/>
      <c r="G100" s="31"/>
      <c r="H100" s="31"/>
      <c r="I100" s="31"/>
      <c r="J100" s="31"/>
      <c r="K100"/>
      <c r="L100"/>
      <c r="M100"/>
      <c r="N100"/>
      <c r="O100"/>
      <c r="P100"/>
      <c r="Q100"/>
      <c r="R100"/>
      <c r="S100"/>
      <c r="T100"/>
      <c r="U100"/>
      <c r="V100"/>
      <c r="W100"/>
    </row>
    <row r="101" spans="2:23" ht="15" customHeight="1" x14ac:dyDescent="0.25">
      <c r="B101" s="31"/>
      <c r="C101" s="31"/>
      <c r="D101" s="31"/>
      <c r="E101" s="31"/>
      <c r="F101" s="31"/>
      <c r="G101" s="31"/>
      <c r="H101" s="31"/>
      <c r="I101" s="31"/>
      <c r="J101" s="31"/>
      <c r="K101"/>
      <c r="L101"/>
      <c r="M101"/>
      <c r="N101"/>
      <c r="O101"/>
      <c r="P101"/>
      <c r="Q101"/>
      <c r="R101"/>
      <c r="S101"/>
      <c r="T101"/>
      <c r="U101"/>
      <c r="V101"/>
      <c r="W101"/>
    </row>
  </sheetData>
  <mergeCells count="1">
    <mergeCell ref="H1:I1"/>
  </mergeCells>
  <conditionalFormatting sqref="B1">
    <cfRule type="cellIs" dxfId="41" priority="1" operator="equal">
      <formula>"Incomplete"</formula>
    </cfRule>
    <cfRule type="cellIs" dxfId="40" priority="2" operator="equal">
      <formula>"Flag for Review"</formula>
    </cfRule>
    <cfRule type="cellIs" dxfId="39" priority="3" operator="equal">
      <formula>"Finished"</formula>
    </cfRule>
  </conditionalFormatting>
  <dataValidations count="1">
    <dataValidation type="list" allowBlank="1" showInputMessage="1" showErrorMessage="1" sqref="B1">
      <formula1>"Finished, Flag for Review, Incomplete"</formula1>
    </dataValidation>
  </dataValidations>
  <hyperlinks>
    <hyperlink ref="H1" location="'Point Grid'!A8" display="Return to Point Grid"/>
    <hyperlink ref="H1:I1" location="'Point Grid'!A1" display="Return to Point Grid"/>
  </hyperlink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X101"/>
  <sheetViews>
    <sheetView zoomScaleNormal="100" workbookViewId="0"/>
  </sheetViews>
  <sheetFormatPr defaultColWidth="9.140625" defaultRowHeight="15" x14ac:dyDescent="0.25"/>
  <cols>
    <col min="1" max="1" width="9.140625" style="21"/>
    <col min="2" max="2" width="16" style="21" bestFit="1" customWidth="1"/>
    <col min="3" max="9" width="11.140625" style="21" customWidth="1"/>
    <col min="10" max="16384" width="9.140625" style="21"/>
  </cols>
  <sheetData>
    <row r="1" spans="1:24" x14ac:dyDescent="0.25">
      <c r="A1" s="7">
        <v>18</v>
      </c>
      <c r="B1" s="27" t="s">
        <v>12</v>
      </c>
      <c r="C1" s="20"/>
      <c r="D1" s="20"/>
      <c r="E1" s="20"/>
      <c r="F1" s="20"/>
      <c r="G1" s="20"/>
      <c r="H1" s="384" t="s">
        <v>24</v>
      </c>
      <c r="I1" s="385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 spans="1:24" x14ac:dyDescent="0.25">
      <c r="A2" s="22"/>
      <c r="B2" s="19"/>
      <c r="C2" s="19"/>
      <c r="D2" s="19"/>
      <c r="E2" s="19"/>
      <c r="F2" s="19"/>
      <c r="G2" s="19"/>
      <c r="H2" s="19"/>
      <c r="I2" s="23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 spans="1:24" x14ac:dyDescent="0.25">
      <c r="A3" s="8" t="s">
        <v>13</v>
      </c>
      <c r="B3" s="17"/>
      <c r="C3" s="17"/>
      <c r="D3" s="17"/>
      <c r="E3" s="17"/>
      <c r="F3" s="17"/>
      <c r="G3" s="17"/>
      <c r="H3" s="17"/>
      <c r="I3" s="18"/>
      <c r="J3" s="31"/>
      <c r="K3"/>
      <c r="L3"/>
      <c r="M3"/>
      <c r="N3"/>
      <c r="O3"/>
      <c r="P3"/>
      <c r="Q3"/>
      <c r="R3"/>
      <c r="S3"/>
      <c r="T3"/>
      <c r="U3"/>
      <c r="V3"/>
      <c r="W3"/>
      <c r="X3"/>
    </row>
    <row r="4" spans="1:24" x14ac:dyDescent="0.25">
      <c r="A4" s="9">
        <f>INDEX('Point Grid'!B:B,MATCH(A1,'Point Grid'!A:A,0))</f>
        <v>1</v>
      </c>
      <c r="B4" s="17"/>
      <c r="C4" s="17"/>
      <c r="D4" s="17"/>
      <c r="E4" s="17"/>
      <c r="F4" s="17"/>
      <c r="G4" s="17"/>
      <c r="H4" s="17"/>
      <c r="I4" s="18"/>
      <c r="J4" s="31"/>
      <c r="K4"/>
      <c r="L4"/>
      <c r="M4"/>
      <c r="N4"/>
      <c r="O4"/>
      <c r="P4"/>
      <c r="Q4"/>
      <c r="R4"/>
      <c r="S4"/>
      <c r="T4"/>
      <c r="U4"/>
      <c r="V4"/>
      <c r="W4"/>
      <c r="X4"/>
    </row>
    <row r="5" spans="1:24" x14ac:dyDescent="0.25">
      <c r="A5" s="16"/>
      <c r="B5" s="17"/>
      <c r="C5" s="17"/>
      <c r="D5" s="17"/>
      <c r="E5" s="17"/>
      <c r="F5" s="17"/>
      <c r="G5" s="17"/>
      <c r="H5" s="17"/>
      <c r="I5" s="18"/>
      <c r="J5" s="31"/>
      <c r="K5"/>
      <c r="L5"/>
      <c r="M5"/>
      <c r="N5"/>
      <c r="O5"/>
      <c r="P5"/>
      <c r="Q5"/>
      <c r="R5"/>
      <c r="S5"/>
      <c r="T5"/>
      <c r="U5"/>
      <c r="V5"/>
      <c r="W5"/>
      <c r="X5"/>
    </row>
    <row r="6" spans="1:24" x14ac:dyDescent="0.25">
      <c r="A6" s="25" t="s">
        <v>2</v>
      </c>
      <c r="B6" s="17" t="s">
        <v>230</v>
      </c>
      <c r="C6" s="17"/>
      <c r="D6" s="17"/>
      <c r="E6" s="17"/>
      <c r="F6" s="17"/>
      <c r="G6" s="17"/>
      <c r="H6" s="17"/>
      <c r="I6" s="18"/>
      <c r="J6" s="31"/>
      <c r="K6"/>
      <c r="L6"/>
      <c r="M6"/>
      <c r="N6"/>
      <c r="O6"/>
      <c r="P6"/>
      <c r="Q6"/>
      <c r="R6"/>
      <c r="S6"/>
      <c r="T6"/>
      <c r="U6"/>
      <c r="V6"/>
      <c r="W6"/>
      <c r="X6"/>
    </row>
    <row r="7" spans="1:24" ht="15.75" thickBot="1" x14ac:dyDescent="0.3">
      <c r="A7" s="9">
        <f>INDEX('Point Grid'!$C$8:$I$54,MATCH($A$1,'Point Grid'!$A$8:$A$54,0),MATCH(A6,'Point Grid'!$C$7:$I$7,0))</f>
        <v>0.75</v>
      </c>
      <c r="B7" s="17" t="s">
        <v>231</v>
      </c>
      <c r="C7" s="17"/>
      <c r="D7" s="17"/>
      <c r="E7" s="17"/>
      <c r="F7" s="17"/>
      <c r="G7" s="17"/>
      <c r="H7" s="17"/>
      <c r="I7" s="18"/>
      <c r="J7" s="31"/>
      <c r="K7"/>
      <c r="L7"/>
      <c r="M7"/>
      <c r="N7"/>
      <c r="O7"/>
      <c r="P7"/>
      <c r="Q7"/>
      <c r="R7"/>
      <c r="S7"/>
      <c r="T7"/>
      <c r="U7"/>
      <c r="V7"/>
      <c r="W7"/>
      <c r="X7"/>
    </row>
    <row r="8" spans="1:24" ht="15.75" thickBot="1" x14ac:dyDescent="0.3">
      <c r="A8" s="5"/>
      <c r="B8" s="17"/>
      <c r="C8" s="28"/>
      <c r="D8" s="28"/>
      <c r="E8" s="28"/>
      <c r="F8" s="28"/>
      <c r="G8" s="28"/>
      <c r="H8" s="28"/>
      <c r="I8" s="18"/>
      <c r="J8" s="31"/>
      <c r="K8"/>
      <c r="L8"/>
      <c r="M8"/>
      <c r="N8"/>
      <c r="O8"/>
      <c r="P8"/>
      <c r="Q8"/>
      <c r="R8"/>
      <c r="S8"/>
      <c r="T8"/>
      <c r="U8"/>
      <c r="V8"/>
      <c r="W8"/>
      <c r="X8"/>
    </row>
    <row r="9" spans="1:24" x14ac:dyDescent="0.25">
      <c r="A9" s="25"/>
      <c r="B9" s="17"/>
      <c r="C9" s="201" t="s">
        <v>237</v>
      </c>
      <c r="D9" s="202"/>
      <c r="E9" s="202"/>
      <c r="F9" s="202"/>
      <c r="G9" s="203">
        <v>658000</v>
      </c>
      <c r="H9" s="17"/>
      <c r="I9" s="18"/>
      <c r="J9" s="31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 spans="1:24" x14ac:dyDescent="0.25">
      <c r="A10" s="25"/>
      <c r="B10" s="17"/>
      <c r="C10" s="68" t="s">
        <v>236</v>
      </c>
      <c r="D10" s="17"/>
      <c r="E10" s="17"/>
      <c r="F10" s="17"/>
      <c r="G10" s="204">
        <v>212197</v>
      </c>
      <c r="H10" s="17"/>
      <c r="I10" s="18"/>
      <c r="J10" s="31"/>
      <c r="K10"/>
      <c r="L10"/>
      <c r="M10"/>
      <c r="N10"/>
      <c r="O10"/>
      <c r="P10"/>
      <c r="Q10"/>
      <c r="R10"/>
      <c r="S10"/>
      <c r="T10"/>
      <c r="U10"/>
      <c r="V10"/>
      <c r="W10"/>
      <c r="X10"/>
    </row>
    <row r="11" spans="1:24" x14ac:dyDescent="0.25">
      <c r="A11" s="25"/>
      <c r="B11" s="17"/>
      <c r="C11" s="70" t="s">
        <v>235</v>
      </c>
      <c r="D11" s="71"/>
      <c r="E11" s="71"/>
      <c r="F11" s="71"/>
      <c r="G11" s="210">
        <v>163800</v>
      </c>
      <c r="H11" s="17"/>
      <c r="I11" s="18"/>
      <c r="J11" s="31"/>
      <c r="K11"/>
      <c r="L11"/>
      <c r="M11"/>
      <c r="N11"/>
      <c r="O11"/>
      <c r="P11"/>
      <c r="Q11"/>
      <c r="R11"/>
      <c r="S11"/>
      <c r="T11"/>
      <c r="U11"/>
      <c r="V11"/>
      <c r="W11"/>
      <c r="X11"/>
    </row>
    <row r="12" spans="1:24" x14ac:dyDescent="0.25">
      <c r="A12" s="25"/>
      <c r="B12" s="17"/>
      <c r="C12" s="70" t="s">
        <v>234</v>
      </c>
      <c r="D12" s="71"/>
      <c r="E12" s="71"/>
      <c r="F12" s="71"/>
      <c r="G12" s="75">
        <v>1.02</v>
      </c>
      <c r="H12" s="28"/>
      <c r="I12" s="18"/>
      <c r="J12" s="31"/>
      <c r="K12"/>
      <c r="L12"/>
      <c r="M12"/>
      <c r="N12"/>
      <c r="O12"/>
      <c r="P12"/>
      <c r="Q12"/>
      <c r="R12"/>
      <c r="S12"/>
      <c r="T12"/>
      <c r="U12"/>
      <c r="V12"/>
      <c r="W12"/>
      <c r="X12"/>
    </row>
    <row r="13" spans="1:24" x14ac:dyDescent="0.25">
      <c r="A13" s="25"/>
      <c r="B13" s="17"/>
      <c r="C13" s="205" t="s">
        <v>233</v>
      </c>
      <c r="D13" s="206"/>
      <c r="E13" s="206"/>
      <c r="F13" s="206"/>
      <c r="G13" s="207">
        <v>0.7</v>
      </c>
      <c r="H13" s="28"/>
      <c r="I13" s="18"/>
      <c r="J13" s="31"/>
      <c r="K13"/>
      <c r="L13"/>
      <c r="M13"/>
      <c r="N13"/>
      <c r="O13"/>
      <c r="P13"/>
      <c r="Q13"/>
      <c r="R13"/>
      <c r="S13"/>
      <c r="T13"/>
      <c r="U13"/>
      <c r="V13"/>
      <c r="W13"/>
      <c r="X13"/>
    </row>
    <row r="14" spans="1:24" x14ac:dyDescent="0.25">
      <c r="A14" s="25"/>
      <c r="B14" s="17"/>
      <c r="C14" s="208" t="s">
        <v>232</v>
      </c>
      <c r="D14" s="152"/>
      <c r="E14" s="152"/>
      <c r="F14" s="152"/>
      <c r="G14" s="209">
        <v>1.3</v>
      </c>
      <c r="H14" s="28"/>
      <c r="I14" s="18"/>
      <c r="J14" s="31"/>
      <c r="K14"/>
      <c r="L14"/>
      <c r="M14"/>
      <c r="N14"/>
      <c r="O14"/>
      <c r="P14"/>
      <c r="Q14"/>
      <c r="R14"/>
      <c r="S14"/>
      <c r="T14"/>
      <c r="U14"/>
      <c r="V14"/>
      <c r="W14"/>
      <c r="X14"/>
    </row>
    <row r="15" spans="1:24" x14ac:dyDescent="0.25">
      <c r="A15" s="25"/>
      <c r="B15" s="17"/>
      <c r="C15" s="28"/>
      <c r="D15" s="28"/>
      <c r="E15" s="28"/>
      <c r="F15" s="28"/>
      <c r="G15" s="28"/>
      <c r="H15" s="28"/>
      <c r="I15" s="18"/>
      <c r="J15" s="31"/>
      <c r="K15"/>
      <c r="L15"/>
      <c r="M15"/>
      <c r="N15"/>
      <c r="O15"/>
      <c r="P15"/>
      <c r="Q15"/>
      <c r="R15"/>
      <c r="S15"/>
      <c r="T15"/>
      <c r="U15"/>
      <c r="V15"/>
      <c r="W15"/>
      <c r="X15"/>
    </row>
    <row r="16" spans="1:24" x14ac:dyDescent="0.25">
      <c r="A16" s="25" t="s">
        <v>3</v>
      </c>
      <c r="B16" s="17" t="s">
        <v>238</v>
      </c>
      <c r="C16" s="28"/>
      <c r="D16" s="28"/>
      <c r="E16" s="28"/>
      <c r="F16" s="28"/>
      <c r="G16" s="28"/>
      <c r="H16" s="28"/>
      <c r="I16" s="18"/>
      <c r="J16" s="31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  <row r="17" spans="1:24" ht="15.75" thickBot="1" x14ac:dyDescent="0.3">
      <c r="A17" s="9">
        <f>INDEX('Point Grid'!$C$8:$I$54,MATCH($A$1,'Point Grid'!$A$8:$A$54,0),MATCH(A16,'Point Grid'!$C$7:$I$7,0))</f>
        <v>0.25</v>
      </c>
      <c r="B17" s="17" t="s">
        <v>239</v>
      </c>
      <c r="C17" s="28"/>
      <c r="D17" s="28"/>
      <c r="E17" s="28"/>
      <c r="F17" s="28"/>
      <c r="G17" s="28"/>
      <c r="H17" s="28"/>
      <c r="I17" s="18"/>
      <c r="J17" s="31"/>
      <c r="K17"/>
      <c r="L17"/>
      <c r="M17"/>
      <c r="N17"/>
      <c r="O17"/>
      <c r="P17"/>
      <c r="Q17"/>
      <c r="R17"/>
      <c r="S17"/>
      <c r="T17"/>
      <c r="U17"/>
      <c r="V17"/>
      <c r="W17"/>
      <c r="X17"/>
    </row>
    <row r="18" spans="1:24" ht="15" customHeight="1" thickBot="1" x14ac:dyDescent="0.3">
      <c r="A18" s="5"/>
      <c r="B18" s="17"/>
      <c r="C18" s="28"/>
      <c r="D18" s="28"/>
      <c r="E18" s="28"/>
      <c r="F18" s="28"/>
      <c r="G18" s="28"/>
      <c r="H18" s="28"/>
      <c r="I18" s="18"/>
      <c r="J18" s="31"/>
      <c r="K18"/>
      <c r="L18"/>
      <c r="M18"/>
      <c r="N18"/>
      <c r="O18"/>
      <c r="P18"/>
      <c r="Q18"/>
      <c r="R18"/>
      <c r="S18"/>
      <c r="T18"/>
      <c r="U18"/>
      <c r="V18"/>
      <c r="W18"/>
      <c r="X18"/>
    </row>
    <row r="19" spans="1:24" ht="15" customHeight="1" x14ac:dyDescent="0.25">
      <c r="A19" s="25"/>
      <c r="B19" s="35" t="s">
        <v>61</v>
      </c>
      <c r="C19" s="28" t="s">
        <v>241</v>
      </c>
      <c r="D19" s="28"/>
      <c r="E19" s="28"/>
      <c r="F19" s="28"/>
      <c r="G19" s="28"/>
      <c r="H19" s="28"/>
      <c r="I19" s="18"/>
      <c r="J19" s="31"/>
      <c r="K19"/>
      <c r="L19"/>
      <c r="M19"/>
      <c r="N19"/>
      <c r="O19"/>
      <c r="P19"/>
      <c r="Q19"/>
      <c r="R19"/>
      <c r="S19"/>
      <c r="T19"/>
      <c r="U19"/>
      <c r="V19"/>
      <c r="W19"/>
      <c r="X19"/>
    </row>
    <row r="20" spans="1:24" ht="15" customHeight="1" x14ac:dyDescent="0.25">
      <c r="A20" s="25"/>
      <c r="B20" s="35" t="s">
        <v>62</v>
      </c>
      <c r="C20" s="28" t="s">
        <v>240</v>
      </c>
      <c r="D20" s="28"/>
      <c r="E20" s="28"/>
      <c r="F20" s="28"/>
      <c r="G20" s="28"/>
      <c r="H20" s="28"/>
      <c r="I20" s="18"/>
      <c r="J20" s="31"/>
      <c r="K20"/>
      <c r="L20"/>
      <c r="M20"/>
      <c r="N20"/>
      <c r="O20"/>
      <c r="P20"/>
      <c r="Q20"/>
      <c r="R20"/>
      <c r="S20"/>
      <c r="T20"/>
      <c r="U20"/>
      <c r="V20"/>
      <c r="W20"/>
      <c r="X20"/>
    </row>
    <row r="21" spans="1:24" ht="15" customHeight="1" x14ac:dyDescent="0.25">
      <c r="A21" s="25"/>
      <c r="B21" s="17"/>
      <c r="C21" s="28"/>
      <c r="D21" s="28"/>
      <c r="E21" s="28"/>
      <c r="F21" s="28"/>
      <c r="G21" s="28"/>
      <c r="H21" s="28"/>
      <c r="I21" s="18"/>
      <c r="J21" s="31"/>
      <c r="K21"/>
      <c r="L21"/>
      <c r="M21"/>
      <c r="N21"/>
      <c r="O21"/>
      <c r="P21"/>
      <c r="Q21"/>
      <c r="R21"/>
      <c r="S21"/>
      <c r="T21"/>
      <c r="U21"/>
      <c r="V21"/>
      <c r="W21"/>
      <c r="X21"/>
    </row>
    <row r="22" spans="1:24" ht="15" customHeight="1" x14ac:dyDescent="0.25">
      <c r="A22" s="25"/>
      <c r="B22" s="17"/>
      <c r="C22" s="28"/>
      <c r="D22" s="28"/>
      <c r="E22" s="28"/>
      <c r="F22" s="28"/>
      <c r="G22" s="28"/>
      <c r="H22" s="28"/>
      <c r="I22" s="18"/>
      <c r="J22" s="31"/>
      <c r="K22"/>
      <c r="L22"/>
      <c r="M22"/>
      <c r="N22"/>
      <c r="O22"/>
      <c r="P22"/>
      <c r="Q22"/>
      <c r="R22"/>
      <c r="S22"/>
      <c r="T22"/>
      <c r="U22"/>
      <c r="V22"/>
      <c r="W22"/>
      <c r="X22"/>
    </row>
    <row r="23" spans="1:24" ht="15" customHeight="1" x14ac:dyDescent="0.25">
      <c r="A23" s="25"/>
      <c r="B23" s="17"/>
      <c r="C23" s="28"/>
      <c r="D23" s="28"/>
      <c r="E23" s="28"/>
      <c r="F23" s="28"/>
      <c r="G23" s="28"/>
      <c r="H23" s="28"/>
      <c r="I23" s="18"/>
      <c r="J23" s="31"/>
      <c r="K23"/>
      <c r="L23"/>
      <c r="M23"/>
      <c r="N23"/>
      <c r="O23"/>
      <c r="P23"/>
      <c r="Q23"/>
      <c r="R23"/>
      <c r="S23"/>
      <c r="T23"/>
      <c r="U23"/>
      <c r="V23"/>
      <c r="W23"/>
      <c r="X23"/>
    </row>
    <row r="24" spans="1:24" ht="15" customHeight="1" x14ac:dyDescent="0.25">
      <c r="A24" s="25"/>
      <c r="B24" s="17"/>
      <c r="C24" s="28"/>
      <c r="D24" s="28"/>
      <c r="E24" s="28"/>
      <c r="F24" s="28"/>
      <c r="G24" s="28"/>
      <c r="H24" s="28"/>
      <c r="I24" s="18"/>
      <c r="J24" s="31"/>
      <c r="K24"/>
      <c r="L24"/>
      <c r="M24"/>
      <c r="N24"/>
      <c r="O24"/>
      <c r="P24"/>
      <c r="Q24"/>
      <c r="R24"/>
      <c r="S24"/>
      <c r="T24"/>
      <c r="U24"/>
      <c r="V24"/>
      <c r="W24"/>
      <c r="X24"/>
    </row>
    <row r="25" spans="1:24" ht="15" customHeight="1" x14ac:dyDescent="0.25">
      <c r="A25" s="25"/>
      <c r="B25" s="17"/>
      <c r="C25" s="28"/>
      <c r="D25" s="28"/>
      <c r="E25" s="28"/>
      <c r="F25" s="28"/>
      <c r="G25" s="28"/>
      <c r="H25" s="28"/>
      <c r="I25" s="18"/>
      <c r="J25" s="31"/>
      <c r="K25"/>
      <c r="L25"/>
      <c r="M25"/>
      <c r="N25"/>
      <c r="O25"/>
      <c r="P25"/>
      <c r="Q25"/>
      <c r="R25"/>
      <c r="S25"/>
      <c r="T25"/>
      <c r="U25"/>
      <c r="V25"/>
      <c r="W25"/>
      <c r="X25"/>
    </row>
    <row r="26" spans="1:24" ht="15" customHeight="1" x14ac:dyDescent="0.25">
      <c r="A26" s="25"/>
      <c r="B26" s="17"/>
      <c r="C26" s="28"/>
      <c r="D26" s="28"/>
      <c r="E26" s="28"/>
      <c r="F26" s="28"/>
      <c r="G26" s="28"/>
      <c r="H26" s="28"/>
      <c r="I26" s="18"/>
      <c r="J26" s="31"/>
      <c r="K26"/>
      <c r="L26"/>
      <c r="M26"/>
      <c r="N26"/>
      <c r="O26"/>
      <c r="P26"/>
      <c r="Q26"/>
      <c r="R26"/>
      <c r="S26"/>
      <c r="T26"/>
      <c r="U26"/>
      <c r="V26"/>
      <c r="W26"/>
      <c r="X26"/>
    </row>
    <row r="27" spans="1:24" ht="15" customHeight="1" x14ac:dyDescent="0.25">
      <c r="A27" s="25"/>
      <c r="B27" s="17"/>
      <c r="C27" s="28"/>
      <c r="D27" s="28"/>
      <c r="E27" s="28"/>
      <c r="F27" s="28"/>
      <c r="G27" s="28"/>
      <c r="H27" s="28"/>
      <c r="I27" s="18"/>
      <c r="J27" s="31"/>
      <c r="K27"/>
      <c r="L27"/>
      <c r="M27"/>
      <c r="N27"/>
      <c r="O27"/>
      <c r="P27"/>
      <c r="Q27"/>
      <c r="R27"/>
      <c r="S27"/>
      <c r="T27"/>
      <c r="U27"/>
      <c r="V27"/>
      <c r="W27"/>
      <c r="X27"/>
    </row>
    <row r="28" spans="1:24" ht="15" customHeight="1" x14ac:dyDescent="0.25">
      <c r="A28" s="25"/>
      <c r="B28" s="17"/>
      <c r="C28" s="28"/>
      <c r="D28" s="28"/>
      <c r="E28" s="28"/>
      <c r="F28" s="28"/>
      <c r="G28" s="28"/>
      <c r="H28" s="28"/>
      <c r="I28" s="18"/>
      <c r="J28" s="31"/>
      <c r="K28"/>
      <c r="L28"/>
      <c r="M28"/>
      <c r="N28"/>
      <c r="O28"/>
      <c r="P28"/>
      <c r="Q28"/>
      <c r="R28"/>
      <c r="S28"/>
      <c r="T28"/>
      <c r="U28"/>
      <c r="V28"/>
      <c r="W28"/>
      <c r="X28"/>
    </row>
    <row r="29" spans="1:24" ht="15" customHeight="1" x14ac:dyDescent="0.25">
      <c r="A29" s="22"/>
      <c r="B29" s="17"/>
      <c r="C29" s="17"/>
      <c r="D29" s="17"/>
      <c r="E29" s="17"/>
      <c r="F29" s="17"/>
      <c r="G29" s="17"/>
      <c r="H29" s="17"/>
      <c r="I29" s="18"/>
      <c r="J29" s="31"/>
      <c r="K29"/>
      <c r="L29"/>
      <c r="M29"/>
      <c r="N29"/>
      <c r="O29"/>
      <c r="P29"/>
      <c r="Q29"/>
      <c r="R29"/>
      <c r="S29"/>
      <c r="T29"/>
      <c r="U29"/>
      <c r="V29"/>
      <c r="W29"/>
      <c r="X29"/>
    </row>
    <row r="30" spans="1:24" ht="15" customHeight="1" thickBot="1" x14ac:dyDescent="0.3">
      <c r="A30" s="24"/>
      <c r="B30" s="32"/>
      <c r="C30" s="32"/>
      <c r="D30" s="32"/>
      <c r="E30" s="32"/>
      <c r="F30" s="32"/>
      <c r="G30" s="32"/>
      <c r="H30" s="32"/>
      <c r="I30" s="33"/>
      <c r="J30" s="31"/>
      <c r="K30"/>
      <c r="L30"/>
      <c r="M30"/>
      <c r="N30"/>
      <c r="O30"/>
      <c r="P30"/>
      <c r="Q30"/>
      <c r="R30"/>
      <c r="S30"/>
      <c r="T30"/>
      <c r="U30"/>
      <c r="V30"/>
      <c r="W30"/>
      <c r="X30"/>
    </row>
    <row r="31" spans="1:24" ht="15" customHeight="1" x14ac:dyDescent="0.25">
      <c r="B31" s="31"/>
      <c r="C31" s="31"/>
      <c r="D31" s="31"/>
      <c r="E31" s="31"/>
      <c r="F31" s="31"/>
      <c r="G31" s="31"/>
      <c r="H31" s="31"/>
      <c r="I31" s="31"/>
      <c r="J31" s="31"/>
      <c r="K31"/>
      <c r="L31"/>
      <c r="M31"/>
      <c r="N31"/>
      <c r="O31"/>
      <c r="P31"/>
      <c r="Q31"/>
      <c r="R31"/>
      <c r="S31"/>
      <c r="T31"/>
      <c r="U31"/>
      <c r="V31"/>
      <c r="W31"/>
      <c r="X31"/>
    </row>
    <row r="32" spans="1:24" ht="15" customHeight="1" x14ac:dyDescent="0.25">
      <c r="J32" s="31"/>
      <c r="K32"/>
      <c r="L32"/>
      <c r="M32"/>
      <c r="N32"/>
      <c r="O32"/>
      <c r="P32"/>
      <c r="Q32"/>
      <c r="R32"/>
      <c r="S32"/>
      <c r="T32"/>
      <c r="U32"/>
      <c r="V32"/>
      <c r="W32"/>
      <c r="X32"/>
    </row>
    <row r="33" spans="2:24" ht="15" customHeight="1" x14ac:dyDescent="0.25">
      <c r="J33" s="31"/>
      <c r="K33"/>
      <c r="L33"/>
      <c r="M33"/>
      <c r="N33"/>
      <c r="O33"/>
      <c r="P33"/>
      <c r="Q33"/>
      <c r="R33"/>
      <c r="S33"/>
      <c r="T33"/>
      <c r="U33"/>
      <c r="V33"/>
      <c r="W33"/>
      <c r="X33"/>
    </row>
    <row r="34" spans="2:24" ht="15" customHeight="1" x14ac:dyDescent="0.25">
      <c r="J34" s="31"/>
      <c r="K34"/>
      <c r="L34"/>
      <c r="M34"/>
      <c r="N34"/>
      <c r="O34"/>
      <c r="P34"/>
      <c r="Q34"/>
      <c r="R34"/>
      <c r="S34"/>
      <c r="T34"/>
      <c r="U34"/>
      <c r="V34"/>
      <c r="W34"/>
      <c r="X34"/>
    </row>
    <row r="35" spans="2:24" ht="15" customHeight="1" x14ac:dyDescent="0.25">
      <c r="J35" s="31"/>
      <c r="K35"/>
      <c r="L35"/>
      <c r="M35"/>
      <c r="N35"/>
      <c r="O35"/>
      <c r="P35"/>
      <c r="Q35"/>
      <c r="R35"/>
      <c r="S35"/>
      <c r="T35"/>
      <c r="U35"/>
      <c r="V35"/>
      <c r="W35"/>
      <c r="X35"/>
    </row>
    <row r="36" spans="2:24" ht="15" customHeight="1" x14ac:dyDescent="0.25">
      <c r="J36" s="31"/>
      <c r="K36"/>
      <c r="L36"/>
      <c r="M36"/>
      <c r="N36"/>
      <c r="O36"/>
      <c r="P36"/>
      <c r="Q36"/>
      <c r="R36"/>
      <c r="S36"/>
      <c r="T36"/>
      <c r="U36"/>
      <c r="V36"/>
      <c r="W36"/>
      <c r="X36"/>
    </row>
    <row r="37" spans="2:24" ht="15" customHeight="1" x14ac:dyDescent="0.25">
      <c r="J37" s="31"/>
      <c r="K37"/>
      <c r="L37"/>
      <c r="M37"/>
      <c r="N37"/>
      <c r="O37"/>
      <c r="P37"/>
      <c r="Q37"/>
      <c r="R37"/>
      <c r="S37"/>
      <c r="T37"/>
      <c r="U37"/>
      <c r="V37"/>
      <c r="W37"/>
      <c r="X37"/>
    </row>
    <row r="38" spans="2:24" ht="15" customHeight="1" x14ac:dyDescent="0.25">
      <c r="J38" s="31"/>
      <c r="K38"/>
      <c r="L38"/>
      <c r="M38"/>
      <c r="N38"/>
      <c r="O38"/>
      <c r="P38"/>
      <c r="Q38"/>
      <c r="R38"/>
      <c r="S38"/>
      <c r="T38"/>
      <c r="U38"/>
      <c r="V38"/>
      <c r="W38"/>
      <c r="X38"/>
    </row>
    <row r="39" spans="2:24" ht="15" customHeight="1" x14ac:dyDescent="0.25">
      <c r="J39" s="31"/>
      <c r="K39"/>
      <c r="L39"/>
      <c r="M39"/>
      <c r="N39"/>
      <c r="O39"/>
      <c r="P39"/>
      <c r="Q39"/>
      <c r="R39"/>
      <c r="S39"/>
      <c r="T39"/>
      <c r="U39"/>
      <c r="V39"/>
      <c r="W39"/>
      <c r="X39"/>
    </row>
    <row r="40" spans="2:24" ht="15" customHeight="1" x14ac:dyDescent="0.25">
      <c r="J40" s="31"/>
      <c r="K40"/>
      <c r="L40"/>
      <c r="M40"/>
      <c r="N40"/>
      <c r="O40"/>
      <c r="P40"/>
      <c r="Q40"/>
      <c r="R40"/>
      <c r="S40"/>
      <c r="T40"/>
      <c r="U40"/>
      <c r="V40"/>
      <c r="W40"/>
      <c r="X40"/>
    </row>
    <row r="41" spans="2:24" ht="15" customHeight="1" x14ac:dyDescent="0.25">
      <c r="J41" s="31"/>
      <c r="K41"/>
      <c r="L41"/>
      <c r="M41"/>
      <c r="N41"/>
      <c r="O41"/>
      <c r="P41"/>
      <c r="Q41"/>
      <c r="R41"/>
      <c r="S41"/>
      <c r="T41"/>
      <c r="U41"/>
      <c r="V41"/>
      <c r="W41"/>
      <c r="X41"/>
    </row>
    <row r="42" spans="2:24" ht="15" customHeight="1" x14ac:dyDescent="0.25">
      <c r="J42" s="31"/>
      <c r="K42"/>
      <c r="L42"/>
      <c r="M42"/>
      <c r="N42"/>
      <c r="O42"/>
      <c r="P42"/>
      <c r="Q42"/>
      <c r="R42"/>
      <c r="S42"/>
      <c r="T42"/>
      <c r="U42"/>
      <c r="V42"/>
      <c r="W42"/>
      <c r="X42"/>
    </row>
    <row r="43" spans="2:24" ht="15" customHeight="1" x14ac:dyDescent="0.25">
      <c r="J43" s="31"/>
      <c r="K43"/>
      <c r="L43"/>
      <c r="M43"/>
      <c r="N43"/>
      <c r="O43"/>
      <c r="P43"/>
      <c r="Q43"/>
      <c r="R43"/>
      <c r="S43"/>
      <c r="T43"/>
      <c r="U43"/>
      <c r="V43"/>
      <c r="W43"/>
      <c r="X43"/>
    </row>
    <row r="44" spans="2:24" ht="15" customHeight="1" x14ac:dyDescent="0.25">
      <c r="J44" s="31"/>
      <c r="K44"/>
      <c r="L44"/>
      <c r="M44"/>
      <c r="N44"/>
      <c r="O44"/>
      <c r="P44"/>
      <c r="Q44"/>
      <c r="R44"/>
      <c r="S44"/>
      <c r="T44"/>
      <c r="U44"/>
      <c r="V44"/>
      <c r="W44"/>
      <c r="X44"/>
    </row>
    <row r="45" spans="2:24" ht="15" customHeight="1" x14ac:dyDescent="0.25">
      <c r="J45" s="31"/>
      <c r="K45"/>
      <c r="L45"/>
      <c r="M45"/>
      <c r="N45"/>
      <c r="O45"/>
      <c r="P45"/>
      <c r="Q45"/>
      <c r="R45"/>
      <c r="S45"/>
      <c r="T45"/>
      <c r="U45"/>
      <c r="V45"/>
      <c r="W45"/>
      <c r="X45"/>
    </row>
    <row r="46" spans="2:24" ht="15" customHeight="1" x14ac:dyDescent="0.25">
      <c r="B46" s="31"/>
      <c r="C46" s="31"/>
      <c r="D46" s="31"/>
      <c r="E46" s="31"/>
      <c r="F46" s="31"/>
      <c r="G46" s="31"/>
      <c r="H46" s="31"/>
      <c r="I46" s="31"/>
      <c r="J46" s="31"/>
      <c r="K46"/>
      <c r="L46"/>
      <c r="M46"/>
      <c r="N46"/>
      <c r="O46"/>
      <c r="P46"/>
      <c r="Q46"/>
      <c r="R46"/>
      <c r="S46"/>
      <c r="T46"/>
      <c r="U46"/>
      <c r="V46"/>
      <c r="W46"/>
      <c r="X46"/>
    </row>
    <row r="47" spans="2:24" ht="15" customHeight="1" x14ac:dyDescent="0.25">
      <c r="B47" s="31"/>
      <c r="C47" s="31"/>
      <c r="D47" s="31"/>
      <c r="E47" s="31"/>
      <c r="F47" s="31"/>
      <c r="G47" s="31"/>
      <c r="H47" s="31"/>
      <c r="I47" s="31"/>
      <c r="J47" s="31"/>
      <c r="K47"/>
      <c r="L47"/>
      <c r="M47"/>
      <c r="N47"/>
      <c r="O47"/>
      <c r="P47"/>
      <c r="Q47"/>
      <c r="R47"/>
      <c r="S47"/>
      <c r="T47"/>
      <c r="U47"/>
      <c r="V47"/>
      <c r="W47"/>
      <c r="X47"/>
    </row>
    <row r="48" spans="2:24" ht="15" customHeight="1" x14ac:dyDescent="0.25">
      <c r="B48" s="31"/>
      <c r="C48" s="31"/>
      <c r="D48" s="31"/>
      <c r="E48" s="31"/>
      <c r="F48" s="31"/>
      <c r="G48" s="31"/>
      <c r="H48" s="31"/>
      <c r="I48" s="31"/>
      <c r="J48" s="31"/>
      <c r="K48"/>
      <c r="L48"/>
      <c r="M48"/>
      <c r="N48"/>
      <c r="O48"/>
      <c r="P48"/>
      <c r="Q48"/>
      <c r="R48"/>
      <c r="S48"/>
      <c r="T48"/>
      <c r="U48"/>
      <c r="V48"/>
      <c r="W48"/>
      <c r="X48"/>
    </row>
    <row r="49" spans="2:24" ht="15" customHeight="1" x14ac:dyDescent="0.25">
      <c r="B49" s="31"/>
      <c r="C49" s="31"/>
      <c r="D49" s="31"/>
      <c r="E49" s="31"/>
      <c r="F49" s="31"/>
      <c r="G49" s="31"/>
      <c r="H49" s="31"/>
      <c r="I49" s="31"/>
      <c r="J49" s="31"/>
      <c r="K49"/>
      <c r="L49"/>
      <c r="M49"/>
      <c r="N49"/>
      <c r="O49"/>
      <c r="P49"/>
      <c r="Q49"/>
      <c r="R49"/>
      <c r="S49"/>
      <c r="T49"/>
      <c r="U49"/>
      <c r="V49"/>
      <c r="W49"/>
      <c r="X49"/>
    </row>
    <row r="50" spans="2:24" ht="15" customHeight="1" x14ac:dyDescent="0.25">
      <c r="B50" s="31"/>
      <c r="C50" s="31"/>
      <c r="D50" s="31"/>
      <c r="E50" s="31"/>
      <c r="F50" s="31"/>
      <c r="G50" s="31"/>
      <c r="H50" s="31"/>
      <c r="I50" s="31"/>
      <c r="J50" s="31"/>
      <c r="K50"/>
      <c r="L50"/>
      <c r="M50"/>
      <c r="N50"/>
      <c r="O50"/>
      <c r="P50"/>
      <c r="Q50"/>
      <c r="R50"/>
      <c r="S50"/>
      <c r="T50"/>
      <c r="U50"/>
      <c r="V50"/>
      <c r="W50"/>
      <c r="X50"/>
    </row>
    <row r="51" spans="2:24" ht="15" customHeight="1" x14ac:dyDescent="0.25">
      <c r="B51" s="31"/>
      <c r="C51" s="31"/>
      <c r="D51" s="31"/>
      <c r="E51" s="31"/>
      <c r="F51" s="31"/>
      <c r="G51" s="31"/>
      <c r="H51" s="31"/>
      <c r="I51" s="31"/>
      <c r="J51" s="31"/>
      <c r="K51"/>
      <c r="L51"/>
      <c r="M51"/>
      <c r="N51"/>
      <c r="O51"/>
      <c r="P51"/>
      <c r="Q51"/>
      <c r="R51"/>
      <c r="S51"/>
      <c r="T51"/>
      <c r="U51"/>
      <c r="V51"/>
      <c r="W51"/>
      <c r="X51"/>
    </row>
    <row r="52" spans="2:24" ht="15" customHeight="1" x14ac:dyDescent="0.25">
      <c r="B52" s="31"/>
      <c r="C52" s="31"/>
      <c r="D52" s="31"/>
      <c r="E52" s="31"/>
      <c r="F52" s="31"/>
      <c r="G52" s="31"/>
      <c r="H52" s="31"/>
      <c r="I52" s="31"/>
      <c r="J52" s="31"/>
      <c r="K52"/>
      <c r="L52"/>
      <c r="M52"/>
      <c r="N52"/>
      <c r="O52"/>
      <c r="P52"/>
      <c r="Q52"/>
      <c r="R52"/>
      <c r="S52"/>
      <c r="T52"/>
      <c r="U52"/>
      <c r="V52"/>
      <c r="W52"/>
      <c r="X52"/>
    </row>
    <row r="53" spans="2:24" ht="15" customHeight="1" x14ac:dyDescent="0.25">
      <c r="B53" s="31"/>
      <c r="C53" s="31"/>
      <c r="D53" s="31"/>
      <c r="E53" s="31"/>
      <c r="F53" s="31"/>
      <c r="G53" s="31"/>
      <c r="H53" s="31"/>
      <c r="I53" s="31"/>
      <c r="J53" s="31"/>
      <c r="K53"/>
      <c r="L53"/>
      <c r="M53"/>
      <c r="N53"/>
      <c r="O53"/>
      <c r="P53"/>
      <c r="Q53"/>
      <c r="R53"/>
      <c r="S53"/>
      <c r="T53"/>
      <c r="U53"/>
      <c r="V53"/>
      <c r="W53"/>
      <c r="X53"/>
    </row>
    <row r="54" spans="2:24" ht="15" customHeight="1" x14ac:dyDescent="0.25">
      <c r="B54" s="31"/>
      <c r="C54" s="31"/>
      <c r="D54" s="31"/>
      <c r="E54" s="31"/>
      <c r="F54" s="31"/>
      <c r="G54" s="31"/>
      <c r="H54" s="31"/>
      <c r="I54" s="31"/>
      <c r="J54" s="31"/>
      <c r="K54"/>
      <c r="L54"/>
      <c r="M54"/>
      <c r="N54"/>
      <c r="O54"/>
      <c r="P54"/>
      <c r="Q54"/>
      <c r="R54"/>
      <c r="S54"/>
      <c r="T54"/>
      <c r="U54"/>
      <c r="V54"/>
      <c r="W54"/>
      <c r="X54"/>
    </row>
    <row r="55" spans="2:24" ht="15" customHeight="1" x14ac:dyDescent="0.25">
      <c r="B55" s="31"/>
      <c r="C55" s="31"/>
      <c r="D55" s="31"/>
      <c r="E55" s="31"/>
      <c r="F55" s="31"/>
      <c r="G55" s="31"/>
      <c r="H55" s="31"/>
      <c r="I55" s="31"/>
      <c r="J55" s="31"/>
      <c r="K55"/>
      <c r="L55"/>
      <c r="M55"/>
      <c r="N55"/>
      <c r="O55"/>
      <c r="P55"/>
      <c r="Q55"/>
      <c r="R55"/>
      <c r="S55"/>
      <c r="T55"/>
      <c r="U55"/>
      <c r="V55"/>
      <c r="W55"/>
      <c r="X55"/>
    </row>
    <row r="56" spans="2:24" ht="15" customHeight="1" x14ac:dyDescent="0.25">
      <c r="B56" s="31"/>
      <c r="C56" s="31"/>
      <c r="D56" s="31"/>
      <c r="E56" s="31"/>
      <c r="F56" s="31"/>
      <c r="G56" s="31"/>
      <c r="H56" s="31"/>
      <c r="I56" s="31"/>
      <c r="J56" s="31"/>
      <c r="K56"/>
      <c r="L56"/>
      <c r="M56"/>
      <c r="N56"/>
      <c r="O56"/>
      <c r="P56"/>
      <c r="Q56"/>
      <c r="R56"/>
      <c r="S56"/>
      <c r="T56"/>
      <c r="U56"/>
      <c r="V56"/>
      <c r="W56"/>
      <c r="X56"/>
    </row>
    <row r="57" spans="2:24" ht="15" customHeight="1" x14ac:dyDescent="0.25">
      <c r="B57" s="31"/>
      <c r="C57" s="31"/>
      <c r="D57" s="31"/>
      <c r="E57" s="31"/>
      <c r="F57" s="31"/>
      <c r="G57" s="31"/>
      <c r="H57" s="31"/>
      <c r="I57" s="31"/>
      <c r="J57" s="31"/>
      <c r="K57"/>
      <c r="L57"/>
      <c r="M57"/>
      <c r="N57"/>
      <c r="O57"/>
      <c r="P57"/>
      <c r="Q57"/>
      <c r="R57"/>
      <c r="S57"/>
      <c r="T57"/>
      <c r="U57"/>
      <c r="V57"/>
      <c r="W57"/>
      <c r="X57"/>
    </row>
    <row r="58" spans="2:24" ht="15" customHeight="1" x14ac:dyDescent="0.25">
      <c r="B58" s="31"/>
      <c r="C58" s="31"/>
      <c r="D58" s="31"/>
      <c r="E58" s="31"/>
      <c r="F58" s="31"/>
      <c r="G58" s="31"/>
      <c r="H58" s="31"/>
      <c r="I58" s="31"/>
      <c r="J58" s="31"/>
      <c r="K58"/>
      <c r="L58"/>
      <c r="M58"/>
      <c r="N58"/>
      <c r="O58"/>
      <c r="P58"/>
      <c r="Q58"/>
      <c r="R58"/>
      <c r="S58"/>
      <c r="T58"/>
      <c r="U58"/>
      <c r="V58"/>
      <c r="W58"/>
      <c r="X58"/>
    </row>
    <row r="59" spans="2:24" ht="15" customHeight="1" x14ac:dyDescent="0.25">
      <c r="B59" s="31"/>
      <c r="C59" s="31"/>
      <c r="D59" s="31"/>
      <c r="E59" s="31"/>
      <c r="F59" s="31"/>
      <c r="G59" s="31"/>
      <c r="H59" s="31"/>
      <c r="I59" s="31"/>
      <c r="J59" s="31"/>
      <c r="K59"/>
      <c r="L59"/>
      <c r="M59"/>
      <c r="N59"/>
      <c r="O59"/>
      <c r="P59"/>
      <c r="Q59"/>
      <c r="R59"/>
      <c r="S59"/>
      <c r="T59"/>
      <c r="U59"/>
      <c r="V59"/>
      <c r="W59"/>
      <c r="X59"/>
    </row>
    <row r="60" spans="2:24" ht="15" customHeight="1" x14ac:dyDescent="0.25">
      <c r="B60" s="31"/>
      <c r="C60" s="31"/>
      <c r="D60" s="31"/>
      <c r="E60" s="31"/>
      <c r="F60" s="31"/>
      <c r="G60" s="31"/>
      <c r="H60" s="31"/>
      <c r="I60" s="31"/>
      <c r="J60" s="31"/>
      <c r="K60"/>
      <c r="L60"/>
      <c r="M60"/>
      <c r="N60"/>
      <c r="O60"/>
      <c r="P60"/>
      <c r="Q60"/>
      <c r="R60"/>
      <c r="S60"/>
      <c r="T60"/>
      <c r="U60"/>
      <c r="V60"/>
      <c r="W60"/>
      <c r="X60"/>
    </row>
    <row r="61" spans="2:24" ht="15" customHeight="1" x14ac:dyDescent="0.25">
      <c r="B61" s="31"/>
      <c r="C61" s="31"/>
      <c r="D61" s="31"/>
      <c r="E61" s="31"/>
      <c r="F61" s="31"/>
      <c r="G61" s="31"/>
      <c r="H61" s="31"/>
      <c r="I61" s="31"/>
      <c r="J61" s="31"/>
      <c r="K61"/>
      <c r="L61"/>
      <c r="M61"/>
      <c r="N61"/>
      <c r="O61"/>
      <c r="P61"/>
      <c r="Q61"/>
      <c r="R61"/>
      <c r="S61"/>
      <c r="T61"/>
      <c r="U61"/>
      <c r="V61"/>
      <c r="W61"/>
      <c r="X61"/>
    </row>
    <row r="62" spans="2:24" ht="15" customHeight="1" x14ac:dyDescent="0.25">
      <c r="B62" s="31"/>
      <c r="C62" s="31"/>
      <c r="D62" s="31"/>
      <c r="E62" s="31"/>
      <c r="F62" s="31"/>
      <c r="G62" s="31"/>
      <c r="H62" s="31"/>
      <c r="I62" s="31"/>
      <c r="J62" s="31"/>
      <c r="K62"/>
      <c r="L62"/>
      <c r="M62"/>
      <c r="N62"/>
      <c r="O62"/>
      <c r="P62"/>
      <c r="Q62"/>
      <c r="R62"/>
      <c r="S62"/>
      <c r="T62"/>
      <c r="U62"/>
      <c r="V62"/>
      <c r="W62"/>
      <c r="X62"/>
    </row>
    <row r="63" spans="2:24" ht="15" customHeight="1" x14ac:dyDescent="0.25">
      <c r="B63" s="31"/>
      <c r="C63" s="31"/>
      <c r="D63" s="31"/>
      <c r="E63" s="31"/>
      <c r="F63" s="31"/>
      <c r="G63" s="31"/>
      <c r="H63" s="31"/>
      <c r="I63" s="31"/>
      <c r="J63" s="31"/>
      <c r="K63"/>
      <c r="L63"/>
      <c r="M63"/>
      <c r="N63"/>
      <c r="O63"/>
      <c r="P63"/>
      <c r="Q63"/>
      <c r="R63"/>
      <c r="S63"/>
      <c r="T63"/>
      <c r="U63"/>
      <c r="V63"/>
      <c r="W63"/>
      <c r="X63"/>
    </row>
    <row r="64" spans="2:24" ht="15" customHeight="1" x14ac:dyDescent="0.25">
      <c r="B64" s="31"/>
      <c r="C64" s="31"/>
      <c r="D64" s="31"/>
      <c r="E64" s="31"/>
      <c r="F64" s="31"/>
      <c r="G64" s="31"/>
      <c r="H64" s="31"/>
      <c r="I64" s="31"/>
      <c r="J64" s="31"/>
      <c r="K64"/>
      <c r="L64"/>
      <c r="M64"/>
      <c r="N64"/>
      <c r="O64"/>
      <c r="P64"/>
      <c r="Q64"/>
      <c r="R64"/>
      <c r="S64"/>
      <c r="T64"/>
      <c r="U64"/>
      <c r="V64"/>
      <c r="W64"/>
      <c r="X64"/>
    </row>
    <row r="65" spans="2:24" ht="15" customHeight="1" x14ac:dyDescent="0.25">
      <c r="B65" s="31"/>
      <c r="C65" s="31"/>
      <c r="D65" s="31"/>
      <c r="E65" s="31"/>
      <c r="F65" s="31"/>
      <c r="G65" s="31"/>
      <c r="H65" s="31"/>
      <c r="I65" s="31"/>
      <c r="J65" s="31"/>
      <c r="K65"/>
      <c r="L65"/>
      <c r="M65"/>
      <c r="N65"/>
      <c r="O65"/>
      <c r="P65"/>
      <c r="Q65"/>
      <c r="R65"/>
      <c r="S65"/>
      <c r="T65"/>
      <c r="U65"/>
      <c r="V65"/>
      <c r="W65"/>
      <c r="X65"/>
    </row>
    <row r="66" spans="2:24" ht="15" customHeight="1" x14ac:dyDescent="0.25">
      <c r="B66" s="31"/>
      <c r="C66" s="31"/>
      <c r="D66" s="31"/>
      <c r="E66" s="31"/>
      <c r="F66" s="31"/>
      <c r="G66" s="31"/>
      <c r="H66" s="31"/>
      <c r="I66" s="31"/>
      <c r="J66" s="31"/>
      <c r="K66"/>
      <c r="L66"/>
      <c r="M66"/>
      <c r="N66"/>
      <c r="O66"/>
      <c r="P66"/>
      <c r="Q66"/>
      <c r="R66"/>
      <c r="S66"/>
      <c r="T66"/>
      <c r="U66"/>
      <c r="V66"/>
      <c r="W66"/>
      <c r="X66"/>
    </row>
    <row r="67" spans="2:24" ht="15" customHeight="1" x14ac:dyDescent="0.25">
      <c r="B67" s="31"/>
      <c r="C67" s="31"/>
      <c r="D67" s="31"/>
      <c r="E67" s="31"/>
      <c r="F67" s="31"/>
      <c r="G67" s="31"/>
      <c r="H67" s="31"/>
      <c r="I67" s="31"/>
      <c r="J67" s="31"/>
      <c r="K67"/>
      <c r="L67"/>
      <c r="M67"/>
      <c r="N67"/>
      <c r="O67"/>
      <c r="P67"/>
      <c r="Q67"/>
      <c r="R67"/>
      <c r="S67"/>
      <c r="T67"/>
      <c r="U67"/>
      <c r="V67"/>
      <c r="W67"/>
      <c r="X67"/>
    </row>
    <row r="68" spans="2:24" ht="15" customHeight="1" x14ac:dyDescent="0.25">
      <c r="B68" s="31"/>
      <c r="C68" s="31"/>
      <c r="D68" s="31"/>
      <c r="E68" s="31"/>
      <c r="F68" s="31"/>
      <c r="G68" s="31"/>
      <c r="H68" s="31"/>
      <c r="I68" s="31"/>
      <c r="J68" s="31"/>
      <c r="K68"/>
      <c r="L68"/>
      <c r="M68"/>
      <c r="N68"/>
      <c r="O68"/>
      <c r="P68"/>
      <c r="Q68"/>
      <c r="R68"/>
      <c r="S68"/>
      <c r="T68"/>
      <c r="U68"/>
      <c r="V68"/>
      <c r="W68"/>
      <c r="X68"/>
    </row>
    <row r="69" spans="2:24" ht="15" customHeight="1" x14ac:dyDescent="0.25">
      <c r="B69" s="31"/>
      <c r="C69" s="31"/>
      <c r="D69" s="31"/>
      <c r="E69" s="31"/>
      <c r="F69" s="31"/>
      <c r="G69" s="31"/>
      <c r="H69" s="31"/>
      <c r="I69" s="31"/>
      <c r="J69" s="31"/>
      <c r="K69"/>
      <c r="L69"/>
      <c r="M69"/>
      <c r="N69"/>
      <c r="O69"/>
      <c r="P69"/>
      <c r="Q69"/>
      <c r="R69"/>
      <c r="S69"/>
      <c r="T69"/>
      <c r="U69"/>
      <c r="V69"/>
      <c r="W69"/>
      <c r="X69"/>
    </row>
    <row r="70" spans="2:24" ht="15" customHeight="1" x14ac:dyDescent="0.25">
      <c r="B70" s="31"/>
      <c r="C70" s="31"/>
      <c r="D70" s="31"/>
      <c r="E70" s="31"/>
      <c r="F70" s="31"/>
      <c r="G70" s="31"/>
      <c r="H70" s="31"/>
      <c r="I70" s="31"/>
      <c r="J70" s="31"/>
      <c r="K70"/>
      <c r="L70"/>
      <c r="M70"/>
      <c r="N70"/>
      <c r="O70"/>
      <c r="P70"/>
      <c r="Q70"/>
      <c r="R70"/>
      <c r="S70"/>
      <c r="T70"/>
      <c r="U70"/>
      <c r="V70"/>
      <c r="W70"/>
      <c r="X70"/>
    </row>
    <row r="71" spans="2:24" ht="15" customHeight="1" x14ac:dyDescent="0.25">
      <c r="B71" s="31"/>
      <c r="C71" s="31"/>
      <c r="D71" s="31"/>
      <c r="E71" s="31"/>
      <c r="F71" s="31"/>
      <c r="G71" s="31"/>
      <c r="H71" s="31"/>
      <c r="I71" s="31"/>
      <c r="J71" s="31"/>
      <c r="K71"/>
      <c r="L71"/>
      <c r="M71"/>
      <c r="N71"/>
      <c r="O71"/>
      <c r="P71"/>
      <c r="Q71"/>
      <c r="R71"/>
      <c r="S71"/>
      <c r="T71"/>
      <c r="U71"/>
      <c r="V71"/>
      <c r="W71"/>
      <c r="X71"/>
    </row>
    <row r="72" spans="2:24" ht="15" customHeight="1" x14ac:dyDescent="0.25">
      <c r="B72" s="31"/>
      <c r="C72" s="31"/>
      <c r="D72" s="31"/>
      <c r="E72" s="31"/>
      <c r="F72" s="31"/>
      <c r="G72" s="31"/>
      <c r="H72" s="31"/>
      <c r="I72" s="31"/>
      <c r="J72" s="31"/>
      <c r="K72"/>
      <c r="L72"/>
      <c r="M72"/>
      <c r="N72"/>
      <c r="O72"/>
      <c r="P72"/>
      <c r="Q72"/>
      <c r="R72"/>
      <c r="S72"/>
      <c r="T72"/>
      <c r="U72"/>
      <c r="V72"/>
      <c r="W72"/>
      <c r="X72"/>
    </row>
    <row r="73" spans="2:24" ht="15" customHeight="1" x14ac:dyDescent="0.25">
      <c r="B73" s="31"/>
      <c r="C73" s="31"/>
      <c r="D73" s="31"/>
      <c r="E73" s="31"/>
      <c r="F73" s="31"/>
      <c r="G73" s="31"/>
      <c r="H73" s="31"/>
      <c r="I73" s="31"/>
      <c r="J73" s="31"/>
      <c r="K73"/>
      <c r="L73"/>
      <c r="M73"/>
      <c r="N73"/>
      <c r="O73"/>
      <c r="P73"/>
      <c r="Q73"/>
      <c r="R73"/>
      <c r="S73"/>
      <c r="T73"/>
      <c r="U73"/>
      <c r="V73"/>
      <c r="W73"/>
      <c r="X73"/>
    </row>
    <row r="74" spans="2:24" ht="15" customHeight="1" x14ac:dyDescent="0.25">
      <c r="B74" s="31"/>
      <c r="C74" s="31"/>
      <c r="D74" s="31"/>
      <c r="E74" s="31"/>
      <c r="F74" s="31"/>
      <c r="G74" s="31"/>
      <c r="H74" s="31"/>
      <c r="I74" s="31"/>
      <c r="J74" s="31"/>
      <c r="K74"/>
      <c r="L74"/>
      <c r="M74"/>
      <c r="N74"/>
      <c r="O74"/>
      <c r="P74"/>
      <c r="Q74"/>
      <c r="R74"/>
      <c r="S74"/>
      <c r="T74"/>
      <c r="U74"/>
      <c r="V74"/>
      <c r="W74"/>
      <c r="X74"/>
    </row>
    <row r="75" spans="2:24" ht="15" customHeight="1" x14ac:dyDescent="0.25">
      <c r="B75" s="31"/>
      <c r="C75" s="31"/>
      <c r="D75" s="31"/>
      <c r="E75" s="31"/>
      <c r="F75" s="31"/>
      <c r="G75" s="31"/>
      <c r="H75" s="31"/>
      <c r="I75" s="31"/>
      <c r="J75" s="31"/>
      <c r="K75"/>
      <c r="L75"/>
      <c r="M75"/>
      <c r="N75"/>
      <c r="O75"/>
      <c r="P75"/>
      <c r="Q75"/>
      <c r="R75"/>
      <c r="S75"/>
      <c r="T75"/>
      <c r="U75"/>
      <c r="V75"/>
      <c r="W75"/>
      <c r="X75"/>
    </row>
    <row r="76" spans="2:24" ht="15" customHeight="1" x14ac:dyDescent="0.25">
      <c r="B76" s="31"/>
      <c r="C76" s="31"/>
      <c r="D76" s="31"/>
      <c r="E76" s="31"/>
      <c r="F76" s="31"/>
      <c r="G76" s="31"/>
      <c r="H76" s="31"/>
      <c r="I76" s="31"/>
      <c r="J76" s="31"/>
      <c r="K76"/>
      <c r="L76"/>
      <c r="M76"/>
      <c r="N76"/>
      <c r="O76"/>
      <c r="P76"/>
      <c r="Q76"/>
      <c r="R76"/>
      <c r="S76"/>
      <c r="T76"/>
      <c r="U76"/>
      <c r="V76"/>
      <c r="W76"/>
      <c r="X76"/>
    </row>
    <row r="77" spans="2:24" ht="15" customHeight="1" x14ac:dyDescent="0.25">
      <c r="B77" s="31"/>
      <c r="C77" s="31"/>
      <c r="D77" s="31"/>
      <c r="E77" s="31"/>
      <c r="F77" s="31"/>
      <c r="G77" s="31"/>
      <c r="H77" s="31"/>
      <c r="I77" s="31"/>
      <c r="J77" s="31"/>
      <c r="K77"/>
      <c r="L77"/>
      <c r="M77"/>
      <c r="N77"/>
      <c r="O77"/>
      <c r="P77"/>
      <c r="Q77"/>
      <c r="R77"/>
      <c r="S77"/>
      <c r="T77"/>
      <c r="U77"/>
      <c r="V77"/>
      <c r="W77"/>
      <c r="X77"/>
    </row>
    <row r="78" spans="2:24" ht="15" customHeight="1" x14ac:dyDescent="0.25">
      <c r="B78" s="31"/>
      <c r="C78" s="31"/>
      <c r="D78" s="31"/>
      <c r="E78" s="31"/>
      <c r="F78" s="31"/>
      <c r="G78" s="31"/>
      <c r="H78" s="31"/>
      <c r="I78" s="31"/>
      <c r="J78" s="31"/>
      <c r="K78"/>
      <c r="L78"/>
      <c r="M78"/>
      <c r="N78"/>
      <c r="O78"/>
      <c r="P78"/>
      <c r="Q78"/>
      <c r="R78"/>
      <c r="S78"/>
      <c r="T78"/>
      <c r="U78"/>
      <c r="V78"/>
      <c r="W78"/>
      <c r="X78"/>
    </row>
    <row r="79" spans="2:24" ht="15" customHeight="1" x14ac:dyDescent="0.25">
      <c r="B79" s="31"/>
      <c r="C79" s="31"/>
      <c r="D79" s="31"/>
      <c r="E79" s="31"/>
      <c r="F79" s="31"/>
      <c r="G79" s="31"/>
      <c r="H79" s="31"/>
      <c r="I79" s="31"/>
      <c r="J79" s="31"/>
      <c r="K79"/>
      <c r="L79"/>
      <c r="M79"/>
      <c r="N79"/>
      <c r="O79"/>
      <c r="P79"/>
      <c r="Q79"/>
      <c r="R79"/>
      <c r="S79"/>
      <c r="T79"/>
      <c r="U79"/>
      <c r="V79"/>
      <c r="W79"/>
      <c r="X79"/>
    </row>
    <row r="80" spans="2:24" ht="15" customHeight="1" x14ac:dyDescent="0.25">
      <c r="B80" s="31"/>
      <c r="C80" s="31"/>
      <c r="D80" s="31"/>
      <c r="E80" s="31"/>
      <c r="F80" s="31"/>
      <c r="G80" s="31"/>
      <c r="H80" s="31"/>
      <c r="I80" s="31"/>
      <c r="J80" s="31"/>
      <c r="K80"/>
      <c r="L80"/>
      <c r="M80"/>
      <c r="N80"/>
      <c r="O80"/>
      <c r="P80"/>
      <c r="Q80"/>
      <c r="R80"/>
      <c r="S80"/>
      <c r="T80"/>
      <c r="U80"/>
      <c r="V80"/>
      <c r="W80"/>
      <c r="X80"/>
    </row>
    <row r="81" spans="2:24" ht="15" customHeight="1" x14ac:dyDescent="0.25">
      <c r="B81" s="31"/>
      <c r="C81" s="31"/>
      <c r="D81" s="31"/>
      <c r="E81" s="31"/>
      <c r="F81" s="31"/>
      <c r="G81" s="31"/>
      <c r="H81" s="31"/>
      <c r="I81" s="31"/>
      <c r="J81" s="31"/>
      <c r="K81"/>
      <c r="L81"/>
      <c r="M81"/>
      <c r="N81"/>
      <c r="O81"/>
      <c r="P81"/>
      <c r="Q81"/>
      <c r="R81"/>
      <c r="S81"/>
      <c r="T81"/>
      <c r="U81"/>
      <c r="V81"/>
      <c r="W81"/>
      <c r="X81"/>
    </row>
    <row r="82" spans="2:24" ht="15" customHeight="1" x14ac:dyDescent="0.25">
      <c r="B82" s="31"/>
      <c r="C82" s="31"/>
      <c r="D82" s="31"/>
      <c r="E82" s="31"/>
      <c r="F82" s="31"/>
      <c r="G82" s="31"/>
      <c r="H82" s="31"/>
      <c r="I82" s="31"/>
      <c r="J82" s="31"/>
      <c r="K82"/>
      <c r="L82"/>
      <c r="M82"/>
      <c r="N82"/>
      <c r="O82"/>
      <c r="P82"/>
      <c r="Q82"/>
      <c r="R82"/>
      <c r="S82"/>
      <c r="T82"/>
      <c r="U82"/>
      <c r="V82"/>
      <c r="W82"/>
      <c r="X82"/>
    </row>
    <row r="83" spans="2:24" ht="15" customHeight="1" x14ac:dyDescent="0.25">
      <c r="B83" s="31"/>
      <c r="C83" s="31"/>
      <c r="D83" s="31"/>
      <c r="E83" s="31"/>
      <c r="F83" s="31"/>
      <c r="G83" s="31"/>
      <c r="H83" s="31"/>
      <c r="I83" s="31"/>
      <c r="J83" s="31"/>
      <c r="K83"/>
      <c r="L83"/>
      <c r="M83"/>
      <c r="N83"/>
      <c r="O83"/>
      <c r="P83"/>
      <c r="Q83"/>
      <c r="R83"/>
      <c r="S83"/>
      <c r="T83"/>
      <c r="U83"/>
      <c r="V83"/>
      <c r="W83"/>
      <c r="X83"/>
    </row>
    <row r="84" spans="2:24" ht="15" customHeight="1" x14ac:dyDescent="0.25">
      <c r="B84" s="31"/>
      <c r="C84" s="31"/>
      <c r="D84" s="31"/>
      <c r="E84" s="31"/>
      <c r="F84" s="31"/>
      <c r="G84" s="31"/>
      <c r="H84" s="31"/>
      <c r="I84" s="31"/>
      <c r="J84" s="31"/>
      <c r="K84"/>
      <c r="L84"/>
      <c r="M84"/>
      <c r="N84"/>
      <c r="O84"/>
      <c r="P84"/>
      <c r="Q84"/>
      <c r="R84"/>
      <c r="S84"/>
      <c r="T84"/>
      <c r="U84"/>
      <c r="V84"/>
      <c r="W84"/>
      <c r="X84"/>
    </row>
    <row r="85" spans="2:24" ht="15" customHeight="1" x14ac:dyDescent="0.25">
      <c r="B85" s="31"/>
      <c r="C85" s="31"/>
      <c r="D85" s="31"/>
      <c r="E85" s="31"/>
      <c r="F85" s="31"/>
      <c r="G85" s="31"/>
      <c r="H85" s="31"/>
      <c r="I85" s="31"/>
      <c r="J85" s="31"/>
      <c r="K85"/>
      <c r="L85"/>
      <c r="M85"/>
      <c r="N85"/>
      <c r="O85"/>
      <c r="P85"/>
      <c r="Q85"/>
      <c r="R85"/>
      <c r="S85"/>
      <c r="T85"/>
      <c r="U85"/>
      <c r="V85"/>
      <c r="W85"/>
      <c r="X85"/>
    </row>
    <row r="86" spans="2:24" ht="15" customHeight="1" x14ac:dyDescent="0.25">
      <c r="B86" s="31"/>
      <c r="C86" s="31"/>
      <c r="D86" s="31"/>
      <c r="E86" s="31"/>
      <c r="F86" s="31"/>
      <c r="G86" s="31"/>
      <c r="H86" s="31"/>
      <c r="I86" s="31"/>
      <c r="J86" s="31"/>
      <c r="K86"/>
      <c r="L86"/>
      <c r="M86"/>
      <c r="N86"/>
      <c r="O86"/>
      <c r="P86"/>
      <c r="Q86"/>
      <c r="R86"/>
      <c r="S86"/>
      <c r="T86"/>
      <c r="U86"/>
      <c r="V86"/>
      <c r="W86"/>
      <c r="X86"/>
    </row>
    <row r="87" spans="2:24" ht="15" customHeight="1" x14ac:dyDescent="0.25">
      <c r="B87" s="31"/>
      <c r="C87" s="31"/>
      <c r="D87" s="31"/>
      <c r="E87" s="31"/>
      <c r="F87" s="31"/>
      <c r="G87" s="31"/>
      <c r="H87" s="31"/>
      <c r="I87" s="31"/>
      <c r="J87" s="31"/>
      <c r="K87"/>
      <c r="L87"/>
      <c r="M87"/>
      <c r="N87"/>
      <c r="O87"/>
      <c r="P87"/>
      <c r="Q87"/>
      <c r="R87"/>
      <c r="S87"/>
      <c r="T87"/>
      <c r="U87"/>
      <c r="V87"/>
      <c r="W87"/>
      <c r="X87"/>
    </row>
    <row r="88" spans="2:24" ht="15" customHeight="1" x14ac:dyDescent="0.25">
      <c r="B88" s="31"/>
      <c r="C88" s="31"/>
      <c r="D88" s="31"/>
      <c r="E88" s="31"/>
      <c r="F88" s="31"/>
      <c r="G88" s="31"/>
      <c r="H88" s="31"/>
      <c r="I88" s="31"/>
      <c r="J88" s="31"/>
      <c r="K88"/>
      <c r="L88"/>
      <c r="M88"/>
      <c r="N88"/>
      <c r="O88"/>
      <c r="P88"/>
      <c r="Q88"/>
      <c r="R88"/>
      <c r="S88"/>
      <c r="T88"/>
      <c r="U88"/>
      <c r="V88"/>
      <c r="W88"/>
      <c r="X88"/>
    </row>
    <row r="89" spans="2:24" ht="15" customHeight="1" x14ac:dyDescent="0.25">
      <c r="B89" s="31"/>
      <c r="C89" s="31"/>
      <c r="D89" s="31"/>
      <c r="E89" s="31"/>
      <c r="F89" s="31"/>
      <c r="G89" s="31"/>
      <c r="H89" s="31"/>
      <c r="I89" s="31"/>
      <c r="J89" s="31"/>
      <c r="K89"/>
      <c r="L89"/>
      <c r="M89"/>
      <c r="N89"/>
      <c r="O89"/>
      <c r="P89"/>
      <c r="Q89"/>
      <c r="R89"/>
      <c r="S89"/>
      <c r="T89"/>
      <c r="U89"/>
      <c r="V89"/>
      <c r="W89"/>
      <c r="X89"/>
    </row>
    <row r="90" spans="2:24" ht="15" customHeight="1" x14ac:dyDescent="0.25">
      <c r="B90" s="31"/>
      <c r="C90" s="31"/>
      <c r="D90" s="31"/>
      <c r="E90" s="31"/>
      <c r="F90" s="31"/>
      <c r="G90" s="31"/>
      <c r="H90" s="31"/>
      <c r="I90" s="31"/>
      <c r="J90" s="31"/>
      <c r="K90"/>
      <c r="L90"/>
      <c r="M90"/>
      <c r="N90"/>
      <c r="O90"/>
      <c r="P90"/>
      <c r="Q90"/>
      <c r="R90"/>
      <c r="S90"/>
      <c r="T90"/>
      <c r="U90"/>
      <c r="V90"/>
      <c r="W90"/>
      <c r="X90"/>
    </row>
    <row r="91" spans="2:24" ht="15" customHeight="1" x14ac:dyDescent="0.25">
      <c r="B91" s="31"/>
      <c r="C91" s="31"/>
      <c r="D91" s="31"/>
      <c r="E91" s="31"/>
      <c r="F91" s="31"/>
      <c r="G91" s="31"/>
      <c r="H91" s="31"/>
      <c r="I91" s="31"/>
      <c r="J91" s="31"/>
      <c r="K91"/>
      <c r="L91"/>
      <c r="M91"/>
      <c r="N91"/>
      <c r="O91"/>
      <c r="P91"/>
      <c r="Q91"/>
      <c r="R91"/>
      <c r="S91"/>
      <c r="T91"/>
      <c r="U91"/>
      <c r="V91"/>
      <c r="W91"/>
      <c r="X91"/>
    </row>
    <row r="92" spans="2:24" ht="15" customHeight="1" x14ac:dyDescent="0.25">
      <c r="B92" s="31"/>
      <c r="C92" s="31"/>
      <c r="D92" s="31"/>
      <c r="E92" s="31"/>
      <c r="F92" s="31"/>
      <c r="G92" s="31"/>
      <c r="H92" s="31"/>
      <c r="I92" s="31"/>
      <c r="J92" s="31"/>
      <c r="K92"/>
      <c r="L92"/>
      <c r="M92"/>
      <c r="N92"/>
      <c r="O92"/>
      <c r="P92"/>
      <c r="Q92"/>
      <c r="R92"/>
      <c r="S92"/>
      <c r="T92"/>
      <c r="U92"/>
      <c r="V92"/>
      <c r="W92"/>
      <c r="X92"/>
    </row>
    <row r="93" spans="2:24" ht="15" customHeight="1" x14ac:dyDescent="0.25">
      <c r="B93" s="31"/>
      <c r="C93" s="31"/>
      <c r="D93" s="31"/>
      <c r="E93" s="31"/>
      <c r="F93" s="31"/>
      <c r="G93" s="31"/>
      <c r="H93" s="31"/>
      <c r="I93" s="31"/>
      <c r="J93" s="31"/>
      <c r="K93"/>
      <c r="L93"/>
      <c r="M93"/>
      <c r="N93"/>
      <c r="O93"/>
      <c r="P93"/>
      <c r="Q93"/>
      <c r="R93"/>
      <c r="S93"/>
      <c r="T93"/>
      <c r="U93"/>
      <c r="V93"/>
      <c r="W93"/>
      <c r="X93"/>
    </row>
    <row r="94" spans="2:24" ht="15" customHeight="1" x14ac:dyDescent="0.25">
      <c r="B94" s="31"/>
      <c r="C94" s="31"/>
      <c r="D94" s="31"/>
      <c r="E94" s="31"/>
      <c r="F94" s="31"/>
      <c r="G94" s="31"/>
      <c r="H94" s="31"/>
      <c r="I94" s="31"/>
      <c r="J94" s="31"/>
      <c r="K94"/>
      <c r="L94"/>
      <c r="M94"/>
      <c r="N94"/>
      <c r="O94"/>
      <c r="P94"/>
      <c r="Q94"/>
      <c r="R94"/>
      <c r="S94"/>
      <c r="T94"/>
      <c r="U94"/>
      <c r="V94"/>
      <c r="W94"/>
      <c r="X94"/>
    </row>
    <row r="95" spans="2:24" ht="15" customHeight="1" x14ac:dyDescent="0.25">
      <c r="B95" s="31"/>
      <c r="C95" s="31"/>
      <c r="D95" s="31"/>
      <c r="E95" s="31"/>
      <c r="F95" s="31"/>
      <c r="G95" s="31"/>
      <c r="H95" s="31"/>
      <c r="I95" s="31"/>
      <c r="J95" s="31"/>
      <c r="K95"/>
      <c r="L95"/>
      <c r="M95"/>
      <c r="N95"/>
      <c r="O95"/>
      <c r="P95"/>
      <c r="Q95"/>
      <c r="R95"/>
      <c r="S95"/>
      <c r="T95"/>
      <c r="U95"/>
      <c r="V95"/>
      <c r="W95"/>
      <c r="X95"/>
    </row>
    <row r="96" spans="2:24" ht="15" customHeight="1" x14ac:dyDescent="0.25">
      <c r="B96" s="31"/>
      <c r="C96" s="31"/>
      <c r="D96" s="31"/>
      <c r="E96" s="31"/>
      <c r="F96" s="31"/>
      <c r="G96" s="31"/>
      <c r="H96" s="31"/>
      <c r="I96" s="31"/>
      <c r="J96" s="31"/>
      <c r="K96"/>
      <c r="L96"/>
      <c r="M96"/>
      <c r="N96"/>
      <c r="O96"/>
      <c r="P96"/>
      <c r="Q96"/>
      <c r="R96"/>
      <c r="S96"/>
      <c r="T96"/>
      <c r="U96"/>
      <c r="V96"/>
      <c r="W96"/>
      <c r="X96"/>
    </row>
    <row r="97" spans="2:24" ht="15" customHeight="1" x14ac:dyDescent="0.25">
      <c r="B97" s="31"/>
      <c r="C97" s="31"/>
      <c r="D97" s="31"/>
      <c r="E97" s="31"/>
      <c r="F97" s="31"/>
      <c r="G97" s="31"/>
      <c r="H97" s="31"/>
      <c r="I97" s="31"/>
      <c r="J97" s="31"/>
      <c r="K97"/>
      <c r="L97"/>
      <c r="M97"/>
      <c r="N97"/>
      <c r="O97"/>
      <c r="P97"/>
      <c r="Q97"/>
      <c r="R97"/>
      <c r="S97"/>
      <c r="T97"/>
      <c r="U97"/>
      <c r="V97"/>
      <c r="W97"/>
      <c r="X97"/>
    </row>
    <row r="98" spans="2:24" ht="15" customHeight="1" x14ac:dyDescent="0.25">
      <c r="B98" s="31"/>
      <c r="C98" s="31"/>
      <c r="D98" s="31"/>
      <c r="E98" s="31"/>
      <c r="F98" s="31"/>
      <c r="G98" s="31"/>
      <c r="H98" s="31"/>
      <c r="I98" s="31"/>
      <c r="J98" s="31"/>
      <c r="K98"/>
      <c r="L98"/>
      <c r="M98"/>
      <c r="N98"/>
      <c r="O98"/>
      <c r="P98"/>
      <c r="Q98"/>
      <c r="R98"/>
      <c r="S98"/>
      <c r="T98"/>
      <c r="U98"/>
      <c r="V98"/>
      <c r="W98"/>
      <c r="X98"/>
    </row>
    <row r="99" spans="2:24" ht="15" customHeight="1" x14ac:dyDescent="0.25">
      <c r="B99" s="31"/>
      <c r="C99" s="31"/>
      <c r="D99" s="31"/>
      <c r="E99" s="31"/>
      <c r="F99" s="31"/>
      <c r="G99" s="31"/>
      <c r="H99" s="31"/>
      <c r="I99" s="31"/>
      <c r="J99" s="31"/>
      <c r="K99"/>
      <c r="L99"/>
      <c r="M99"/>
      <c r="N99"/>
      <c r="O99"/>
      <c r="P99"/>
      <c r="Q99"/>
      <c r="R99"/>
      <c r="S99"/>
      <c r="T99"/>
      <c r="U99"/>
      <c r="V99"/>
      <c r="W99"/>
      <c r="X99"/>
    </row>
    <row r="100" spans="2:24" ht="15" customHeight="1" x14ac:dyDescent="0.25">
      <c r="B100" s="31"/>
      <c r="C100" s="31"/>
      <c r="D100" s="31"/>
      <c r="E100" s="31"/>
      <c r="F100" s="31"/>
      <c r="G100" s="31"/>
      <c r="H100" s="31"/>
      <c r="I100" s="31"/>
      <c r="J100" s="31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</row>
    <row r="101" spans="2:24" ht="15" customHeight="1" x14ac:dyDescent="0.25">
      <c r="B101" s="31"/>
      <c r="C101" s="31"/>
      <c r="D101" s="31"/>
      <c r="E101" s="31"/>
      <c r="F101" s="31"/>
      <c r="G101" s="31"/>
      <c r="H101" s="31"/>
      <c r="I101" s="31"/>
      <c r="J101" s="3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</row>
  </sheetData>
  <mergeCells count="1">
    <mergeCell ref="H1:I1"/>
  </mergeCells>
  <conditionalFormatting sqref="B1">
    <cfRule type="cellIs" dxfId="38" priority="1" operator="equal">
      <formula>"Incomplete"</formula>
    </cfRule>
    <cfRule type="cellIs" dxfId="37" priority="2" operator="equal">
      <formula>"Flag for Review"</formula>
    </cfRule>
    <cfRule type="cellIs" dxfId="36" priority="3" operator="equal">
      <formula>"Finished"</formula>
    </cfRule>
  </conditionalFormatting>
  <dataValidations count="1">
    <dataValidation type="list" allowBlank="1" showInputMessage="1" showErrorMessage="1" sqref="B1">
      <formula1>"Finished, Flag for Review, Incomplete"</formula1>
    </dataValidation>
  </dataValidations>
  <hyperlinks>
    <hyperlink ref="H1" location="'Point Grid'!A8" display="Return to Point Grid"/>
    <hyperlink ref="H1:I1" location="'Point Grid'!A1" display="Return to Point Grid"/>
  </hyperlink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U101"/>
  <sheetViews>
    <sheetView zoomScaleNormal="100" workbookViewId="0"/>
  </sheetViews>
  <sheetFormatPr defaultColWidth="9.140625" defaultRowHeight="15" x14ac:dyDescent="0.25"/>
  <cols>
    <col min="1" max="1" width="9.140625" style="21"/>
    <col min="2" max="2" width="16" style="21" bestFit="1" customWidth="1"/>
    <col min="3" max="9" width="11.140625" style="21" customWidth="1"/>
    <col min="10" max="16384" width="9.140625" style="21"/>
  </cols>
  <sheetData>
    <row r="1" spans="1:21" x14ac:dyDescent="0.25">
      <c r="A1" s="7">
        <v>19</v>
      </c>
      <c r="B1" s="27" t="s">
        <v>12</v>
      </c>
      <c r="C1" s="20"/>
      <c r="D1" s="20"/>
      <c r="E1" s="20"/>
      <c r="F1" s="20"/>
      <c r="G1" s="20"/>
      <c r="H1" s="384" t="s">
        <v>24</v>
      </c>
      <c r="I1" s="385"/>
      <c r="K1"/>
      <c r="L1"/>
      <c r="M1"/>
      <c r="N1"/>
      <c r="O1"/>
      <c r="P1"/>
      <c r="Q1"/>
      <c r="R1"/>
      <c r="S1"/>
      <c r="T1"/>
      <c r="U1"/>
    </row>
    <row r="2" spans="1:21" x14ac:dyDescent="0.25">
      <c r="A2" s="22"/>
      <c r="B2" s="19"/>
      <c r="C2" s="19"/>
      <c r="D2" s="19"/>
      <c r="E2" s="19"/>
      <c r="F2" s="19"/>
      <c r="G2" s="19"/>
      <c r="H2" s="19"/>
      <c r="I2" s="23"/>
      <c r="K2"/>
      <c r="L2"/>
      <c r="M2"/>
      <c r="N2"/>
      <c r="O2"/>
      <c r="P2"/>
      <c r="Q2"/>
      <c r="R2"/>
      <c r="S2"/>
      <c r="T2"/>
      <c r="U2"/>
    </row>
    <row r="3" spans="1:21" x14ac:dyDescent="0.25">
      <c r="A3" s="8" t="s">
        <v>13</v>
      </c>
      <c r="B3" s="17"/>
      <c r="C3" s="17"/>
      <c r="D3" s="17"/>
      <c r="E3" s="17"/>
      <c r="F3" s="17"/>
      <c r="G3" s="17"/>
      <c r="H3" s="17"/>
      <c r="I3" s="18"/>
      <c r="J3" s="31"/>
      <c r="K3"/>
      <c r="L3"/>
      <c r="M3"/>
      <c r="N3"/>
      <c r="O3"/>
      <c r="P3"/>
      <c r="Q3"/>
      <c r="R3"/>
      <c r="S3"/>
      <c r="T3"/>
      <c r="U3"/>
    </row>
    <row r="4" spans="1:21" x14ac:dyDescent="0.25">
      <c r="A4" s="9">
        <f>INDEX('Point Grid'!B:B,MATCH(A1,'Point Grid'!A:A,0))</f>
        <v>0.75</v>
      </c>
      <c r="B4" s="17"/>
      <c r="C4" s="17"/>
      <c r="D4" s="17"/>
      <c r="E4" s="17"/>
      <c r="F4" s="17"/>
      <c r="G4" s="17"/>
      <c r="H4" s="17"/>
      <c r="I4" s="18"/>
      <c r="J4" s="31"/>
      <c r="K4"/>
      <c r="L4"/>
      <c r="M4"/>
      <c r="N4"/>
      <c r="O4"/>
      <c r="P4"/>
      <c r="Q4"/>
      <c r="R4"/>
      <c r="S4"/>
      <c r="T4"/>
      <c r="U4"/>
    </row>
    <row r="5" spans="1:21" x14ac:dyDescent="0.25">
      <c r="A5" s="16"/>
      <c r="B5" s="17"/>
      <c r="C5" s="17"/>
      <c r="D5" s="17"/>
      <c r="E5" s="17"/>
      <c r="F5" s="17"/>
      <c r="G5" s="17"/>
      <c r="H5" s="17"/>
      <c r="I5" s="18"/>
      <c r="J5" s="31"/>
      <c r="K5"/>
      <c r="L5"/>
      <c r="M5"/>
      <c r="N5"/>
      <c r="O5"/>
      <c r="P5"/>
      <c r="Q5"/>
      <c r="R5"/>
      <c r="S5"/>
      <c r="T5"/>
      <c r="U5"/>
    </row>
    <row r="6" spans="1:21" x14ac:dyDescent="0.25">
      <c r="A6" s="25" t="s">
        <v>2</v>
      </c>
      <c r="B6" s="17" t="s">
        <v>267</v>
      </c>
      <c r="C6" s="17"/>
      <c r="D6" s="17"/>
      <c r="E6" s="17"/>
      <c r="F6" s="17"/>
      <c r="G6" s="17"/>
      <c r="H6" s="17"/>
      <c r="I6" s="18"/>
      <c r="J6" s="31"/>
      <c r="K6"/>
      <c r="L6"/>
      <c r="M6"/>
      <c r="N6"/>
      <c r="O6"/>
      <c r="P6"/>
      <c r="Q6"/>
      <c r="R6"/>
      <c r="S6"/>
      <c r="T6"/>
      <c r="U6"/>
    </row>
    <row r="7" spans="1:21" ht="15.75" thickBot="1" x14ac:dyDescent="0.3">
      <c r="A7" s="9">
        <f>INDEX('Point Grid'!$C$8:$I$54,MATCH($A$1,'Point Grid'!$A$8:$A$54,0),MATCH(A6,'Point Grid'!$C$7:$I$7,0))</f>
        <v>0.75</v>
      </c>
      <c r="B7" s="17"/>
      <c r="C7" s="17"/>
      <c r="D7" s="17"/>
      <c r="E7" s="17"/>
      <c r="F7" s="17"/>
      <c r="G7" s="17"/>
      <c r="H7" s="17"/>
      <c r="I7" s="18"/>
      <c r="J7" s="31"/>
      <c r="K7"/>
      <c r="L7"/>
      <c r="M7"/>
      <c r="N7"/>
      <c r="O7"/>
      <c r="P7"/>
      <c r="Q7"/>
      <c r="R7"/>
      <c r="S7"/>
      <c r="T7"/>
      <c r="U7"/>
    </row>
    <row r="8" spans="1:21" ht="15.75" thickBot="1" x14ac:dyDescent="0.3">
      <c r="A8" s="5"/>
      <c r="B8" s="35" t="s">
        <v>61</v>
      </c>
      <c r="C8" s="28" t="s">
        <v>264</v>
      </c>
      <c r="D8" s="28"/>
      <c r="E8" s="28"/>
      <c r="F8" s="28"/>
      <c r="G8" s="28"/>
      <c r="H8" s="28"/>
      <c r="I8" s="18"/>
      <c r="J8" s="31"/>
      <c r="K8"/>
      <c r="L8"/>
      <c r="M8"/>
      <c r="N8"/>
      <c r="O8"/>
      <c r="P8"/>
      <c r="Q8"/>
      <c r="R8"/>
      <c r="S8"/>
      <c r="T8"/>
      <c r="U8"/>
    </row>
    <row r="9" spans="1:21" x14ac:dyDescent="0.25">
      <c r="A9" s="25"/>
      <c r="B9" s="35" t="s">
        <v>62</v>
      </c>
      <c r="C9" s="17" t="s">
        <v>265</v>
      </c>
      <c r="D9" s="17"/>
      <c r="E9" s="17"/>
      <c r="F9" s="17"/>
      <c r="G9" s="17"/>
      <c r="H9" s="17"/>
      <c r="I9" s="18"/>
      <c r="J9" s="31"/>
      <c r="K9"/>
      <c r="L9"/>
      <c r="M9"/>
      <c r="N9"/>
      <c r="O9"/>
      <c r="P9"/>
      <c r="Q9"/>
      <c r="R9"/>
      <c r="S9"/>
      <c r="T9"/>
      <c r="U9"/>
    </row>
    <row r="10" spans="1:21" x14ac:dyDescent="0.25">
      <c r="A10" s="25"/>
      <c r="B10" s="35" t="s">
        <v>263</v>
      </c>
      <c r="C10" s="17" t="s">
        <v>266</v>
      </c>
      <c r="D10" s="17"/>
      <c r="E10" s="17"/>
      <c r="F10" s="17"/>
      <c r="G10" s="17"/>
      <c r="H10" s="17"/>
      <c r="I10" s="18"/>
      <c r="J10" s="31"/>
      <c r="K10"/>
      <c r="L10"/>
      <c r="M10"/>
      <c r="N10"/>
      <c r="O10"/>
      <c r="P10"/>
      <c r="Q10"/>
      <c r="R10"/>
      <c r="S10"/>
      <c r="T10"/>
      <c r="U10"/>
    </row>
    <row r="11" spans="1:21" x14ac:dyDescent="0.25">
      <c r="A11" s="25"/>
      <c r="B11" s="17"/>
      <c r="C11" s="17"/>
      <c r="D11" s="17"/>
      <c r="E11" s="17"/>
      <c r="F11" s="17"/>
      <c r="G11" s="17"/>
      <c r="H11" s="17"/>
      <c r="I11" s="18"/>
      <c r="J11" s="31"/>
      <c r="K11"/>
      <c r="L11"/>
      <c r="M11"/>
      <c r="N11"/>
      <c r="O11"/>
      <c r="P11"/>
      <c r="Q11"/>
      <c r="R11"/>
      <c r="S11"/>
      <c r="T11"/>
      <c r="U11"/>
    </row>
    <row r="12" spans="1:21" x14ac:dyDescent="0.25">
      <c r="A12" s="25"/>
      <c r="B12" s="17"/>
      <c r="C12" s="17"/>
      <c r="D12" s="17"/>
      <c r="E12" s="17"/>
      <c r="F12" s="17"/>
      <c r="G12" s="17"/>
      <c r="H12" s="17"/>
      <c r="I12" s="18"/>
      <c r="J12" s="31"/>
      <c r="K12"/>
      <c r="L12"/>
      <c r="M12"/>
      <c r="N12"/>
      <c r="O12"/>
      <c r="P12"/>
      <c r="Q12"/>
      <c r="R12"/>
      <c r="S12"/>
      <c r="T12"/>
      <c r="U12"/>
    </row>
    <row r="13" spans="1:21" x14ac:dyDescent="0.25">
      <c r="A13" s="25"/>
      <c r="B13" s="17"/>
      <c r="C13" s="17"/>
      <c r="D13" s="17"/>
      <c r="E13" s="17"/>
      <c r="F13" s="17"/>
      <c r="G13" s="17"/>
      <c r="H13" s="17"/>
      <c r="I13" s="18"/>
      <c r="J13" s="31"/>
      <c r="K13"/>
      <c r="L13"/>
      <c r="M13"/>
      <c r="N13"/>
      <c r="O13"/>
      <c r="P13"/>
      <c r="Q13"/>
      <c r="R13"/>
      <c r="S13"/>
      <c r="T13"/>
      <c r="U13"/>
    </row>
    <row r="14" spans="1:21" x14ac:dyDescent="0.25">
      <c r="A14" s="25"/>
      <c r="B14" s="17"/>
      <c r="C14" s="17"/>
      <c r="D14" s="17"/>
      <c r="E14" s="17"/>
      <c r="F14" s="17"/>
      <c r="G14" s="17"/>
      <c r="H14" s="17"/>
      <c r="I14" s="18"/>
      <c r="J14" s="31"/>
      <c r="K14"/>
      <c r="L14"/>
      <c r="M14"/>
      <c r="N14"/>
      <c r="O14"/>
      <c r="P14"/>
      <c r="Q14"/>
      <c r="R14"/>
      <c r="S14"/>
      <c r="T14"/>
      <c r="U14"/>
    </row>
    <row r="15" spans="1:21" x14ac:dyDescent="0.25">
      <c r="A15" s="25"/>
      <c r="B15" s="17"/>
      <c r="C15" s="17"/>
      <c r="D15" s="17"/>
      <c r="E15" s="17"/>
      <c r="F15" s="17"/>
      <c r="G15" s="17"/>
      <c r="H15" s="17"/>
      <c r="I15" s="18"/>
      <c r="J15" s="31"/>
      <c r="K15"/>
      <c r="L15"/>
      <c r="M15"/>
      <c r="N15"/>
      <c r="O15"/>
      <c r="P15"/>
      <c r="Q15"/>
      <c r="R15"/>
      <c r="S15"/>
      <c r="T15"/>
      <c r="U15"/>
    </row>
    <row r="16" spans="1:21" x14ac:dyDescent="0.25">
      <c r="A16" s="25"/>
      <c r="B16" s="17"/>
      <c r="C16" s="17"/>
      <c r="D16" s="17"/>
      <c r="E16" s="17"/>
      <c r="F16" s="17"/>
      <c r="G16" s="17"/>
      <c r="H16" s="17"/>
      <c r="I16" s="18"/>
      <c r="J16" s="31"/>
      <c r="K16"/>
      <c r="L16"/>
      <c r="M16"/>
      <c r="N16"/>
      <c r="O16"/>
      <c r="P16"/>
      <c r="Q16"/>
      <c r="R16"/>
      <c r="S16"/>
      <c r="T16"/>
      <c r="U16"/>
    </row>
    <row r="17" spans="1:21" x14ac:dyDescent="0.25">
      <c r="A17" s="25"/>
      <c r="B17" s="17"/>
      <c r="C17" s="17"/>
      <c r="D17" s="17"/>
      <c r="E17" s="17"/>
      <c r="F17" s="17"/>
      <c r="G17" s="17"/>
      <c r="H17" s="17"/>
      <c r="I17" s="18"/>
      <c r="J17" s="31"/>
      <c r="K17"/>
      <c r="L17"/>
      <c r="M17"/>
      <c r="N17"/>
      <c r="O17"/>
      <c r="P17"/>
      <c r="Q17"/>
      <c r="R17"/>
      <c r="S17"/>
      <c r="T17"/>
      <c r="U17"/>
    </row>
    <row r="18" spans="1:21" ht="15" customHeight="1" x14ac:dyDescent="0.25">
      <c r="A18" s="25"/>
      <c r="B18" s="17"/>
      <c r="C18" s="17"/>
      <c r="D18" s="17"/>
      <c r="E18" s="17"/>
      <c r="F18" s="17"/>
      <c r="G18" s="17"/>
      <c r="H18" s="17"/>
      <c r="I18" s="18"/>
      <c r="J18" s="31"/>
      <c r="K18"/>
      <c r="L18"/>
      <c r="M18"/>
      <c r="N18"/>
      <c r="O18"/>
      <c r="P18"/>
      <c r="Q18"/>
      <c r="R18"/>
      <c r="S18"/>
      <c r="T18"/>
      <c r="U18"/>
    </row>
    <row r="19" spans="1:21" ht="15" customHeight="1" x14ac:dyDescent="0.25">
      <c r="A19" s="25"/>
      <c r="B19" s="17"/>
      <c r="C19" s="17"/>
      <c r="D19" s="17"/>
      <c r="E19" s="17"/>
      <c r="F19" s="17"/>
      <c r="G19" s="17"/>
      <c r="H19" s="17"/>
      <c r="I19" s="18"/>
      <c r="J19" s="31"/>
      <c r="K19"/>
      <c r="L19"/>
      <c r="M19"/>
      <c r="N19"/>
      <c r="O19"/>
      <c r="P19"/>
      <c r="Q19"/>
      <c r="R19"/>
      <c r="S19"/>
      <c r="T19"/>
      <c r="U19"/>
    </row>
    <row r="20" spans="1:21" ht="15" customHeight="1" x14ac:dyDescent="0.25">
      <c r="A20" s="25"/>
      <c r="B20" s="17"/>
      <c r="C20" s="17"/>
      <c r="D20" s="17"/>
      <c r="E20" s="17"/>
      <c r="F20" s="17"/>
      <c r="G20" s="17"/>
      <c r="H20" s="17"/>
      <c r="I20" s="18"/>
      <c r="J20" s="31"/>
      <c r="K20"/>
      <c r="L20"/>
      <c r="M20"/>
      <c r="N20"/>
      <c r="O20"/>
      <c r="P20"/>
      <c r="Q20"/>
      <c r="R20"/>
      <c r="S20"/>
      <c r="T20"/>
      <c r="U20"/>
    </row>
    <row r="21" spans="1:21" ht="15" customHeight="1" x14ac:dyDescent="0.25">
      <c r="A21" s="25"/>
      <c r="B21" s="17"/>
      <c r="C21" s="17"/>
      <c r="D21" s="17"/>
      <c r="E21" s="17"/>
      <c r="F21" s="17"/>
      <c r="G21" s="17"/>
      <c r="H21" s="17"/>
      <c r="I21" s="18"/>
      <c r="J21" s="31"/>
      <c r="K21"/>
      <c r="L21"/>
      <c r="M21"/>
      <c r="N21"/>
      <c r="O21"/>
      <c r="P21"/>
      <c r="Q21"/>
      <c r="R21"/>
      <c r="S21"/>
      <c r="T21"/>
      <c r="U21"/>
    </row>
    <row r="22" spans="1:21" ht="15" customHeight="1" x14ac:dyDescent="0.25">
      <c r="A22" s="25"/>
      <c r="B22" s="17"/>
      <c r="C22" s="17"/>
      <c r="D22" s="17"/>
      <c r="E22" s="17"/>
      <c r="F22" s="17"/>
      <c r="G22" s="17"/>
      <c r="H22" s="17"/>
      <c r="I22" s="18"/>
      <c r="J22" s="31"/>
      <c r="K22"/>
      <c r="L22"/>
      <c r="M22"/>
      <c r="N22"/>
      <c r="O22"/>
      <c r="P22"/>
      <c r="Q22"/>
      <c r="R22"/>
      <c r="S22"/>
      <c r="T22"/>
      <c r="U22"/>
    </row>
    <row r="23" spans="1:21" ht="15" customHeight="1" x14ac:dyDescent="0.25">
      <c r="A23" s="25"/>
      <c r="B23" s="17"/>
      <c r="C23" s="17"/>
      <c r="D23" s="17"/>
      <c r="E23" s="17"/>
      <c r="F23" s="17"/>
      <c r="G23" s="17"/>
      <c r="H23" s="17"/>
      <c r="I23" s="18"/>
      <c r="J23" s="31"/>
      <c r="K23"/>
      <c r="L23"/>
      <c r="M23"/>
      <c r="N23"/>
      <c r="O23"/>
      <c r="P23"/>
      <c r="Q23"/>
      <c r="R23"/>
      <c r="S23"/>
      <c r="T23"/>
      <c r="U23"/>
    </row>
    <row r="24" spans="1:21" ht="15" customHeight="1" x14ac:dyDescent="0.25">
      <c r="A24" s="25"/>
      <c r="B24" s="17"/>
      <c r="C24" s="17"/>
      <c r="D24" s="17"/>
      <c r="E24" s="17"/>
      <c r="F24" s="17"/>
      <c r="G24" s="17"/>
      <c r="H24" s="17"/>
      <c r="I24" s="18"/>
      <c r="J24" s="31"/>
      <c r="K24"/>
      <c r="L24"/>
      <c r="M24"/>
      <c r="N24"/>
      <c r="O24"/>
      <c r="P24"/>
      <c r="Q24"/>
      <c r="R24"/>
      <c r="S24"/>
      <c r="T24"/>
      <c r="U24"/>
    </row>
    <row r="25" spans="1:21" ht="15" customHeight="1" x14ac:dyDescent="0.25">
      <c r="A25" s="25"/>
      <c r="B25" s="17"/>
      <c r="C25" s="17"/>
      <c r="D25" s="17"/>
      <c r="E25" s="17"/>
      <c r="F25" s="17"/>
      <c r="G25" s="17"/>
      <c r="H25" s="17"/>
      <c r="I25" s="18"/>
      <c r="J25" s="31"/>
      <c r="K25"/>
      <c r="L25"/>
      <c r="M25"/>
      <c r="N25"/>
      <c r="O25"/>
      <c r="P25"/>
      <c r="Q25"/>
      <c r="R25"/>
      <c r="S25"/>
      <c r="T25"/>
      <c r="U25"/>
    </row>
    <row r="26" spans="1:21" ht="15" customHeight="1" x14ac:dyDescent="0.25">
      <c r="A26" s="25"/>
      <c r="B26" s="17"/>
      <c r="C26" s="17"/>
      <c r="D26" s="17"/>
      <c r="E26" s="17"/>
      <c r="F26" s="17"/>
      <c r="G26" s="17"/>
      <c r="H26" s="17"/>
      <c r="I26" s="18"/>
      <c r="J26" s="31"/>
      <c r="K26"/>
      <c r="L26"/>
      <c r="M26"/>
      <c r="N26"/>
      <c r="O26"/>
      <c r="P26"/>
      <c r="Q26"/>
      <c r="R26"/>
      <c r="S26"/>
      <c r="T26"/>
      <c r="U26"/>
    </row>
    <row r="27" spans="1:21" ht="15" customHeight="1" x14ac:dyDescent="0.25">
      <c r="A27" s="25"/>
      <c r="B27" s="17"/>
      <c r="C27" s="17"/>
      <c r="D27" s="17"/>
      <c r="E27" s="17"/>
      <c r="F27" s="17"/>
      <c r="G27" s="17"/>
      <c r="H27" s="17"/>
      <c r="I27" s="18"/>
      <c r="J27" s="31"/>
      <c r="K27"/>
      <c r="L27"/>
      <c r="M27"/>
      <c r="N27"/>
      <c r="O27"/>
      <c r="P27"/>
      <c r="Q27"/>
      <c r="R27"/>
      <c r="S27"/>
      <c r="T27"/>
      <c r="U27"/>
    </row>
    <row r="28" spans="1:21" ht="15" customHeight="1" x14ac:dyDescent="0.25">
      <c r="A28" s="25"/>
      <c r="B28" s="17"/>
      <c r="C28" s="17"/>
      <c r="D28" s="17"/>
      <c r="E28" s="17"/>
      <c r="F28" s="17"/>
      <c r="G28" s="17"/>
      <c r="H28" s="17"/>
      <c r="I28" s="18"/>
      <c r="J28" s="31"/>
      <c r="K28"/>
      <c r="L28"/>
      <c r="M28"/>
      <c r="N28"/>
      <c r="O28"/>
      <c r="P28"/>
      <c r="Q28"/>
      <c r="R28"/>
      <c r="S28"/>
      <c r="T28"/>
      <c r="U28"/>
    </row>
    <row r="29" spans="1:21" ht="15" customHeight="1" x14ac:dyDescent="0.25">
      <c r="A29" s="22"/>
      <c r="B29" s="17"/>
      <c r="C29" s="17"/>
      <c r="D29" s="17"/>
      <c r="E29" s="17"/>
      <c r="F29" s="17"/>
      <c r="G29" s="17"/>
      <c r="H29" s="17"/>
      <c r="I29" s="18"/>
      <c r="J29" s="31"/>
      <c r="K29"/>
      <c r="L29"/>
      <c r="M29"/>
      <c r="N29"/>
      <c r="O29"/>
      <c r="P29"/>
      <c r="Q29"/>
      <c r="R29"/>
      <c r="S29"/>
      <c r="T29"/>
      <c r="U29"/>
    </row>
    <row r="30" spans="1:21" ht="15" customHeight="1" thickBot="1" x14ac:dyDescent="0.3">
      <c r="A30" s="24"/>
      <c r="B30" s="32"/>
      <c r="C30" s="32"/>
      <c r="D30" s="32"/>
      <c r="E30" s="32"/>
      <c r="F30" s="32"/>
      <c r="G30" s="32"/>
      <c r="H30" s="32"/>
      <c r="I30" s="33"/>
      <c r="J30" s="31"/>
      <c r="K30"/>
      <c r="L30"/>
      <c r="M30"/>
      <c r="N30"/>
      <c r="O30"/>
      <c r="P30"/>
      <c r="Q30"/>
      <c r="R30"/>
      <c r="S30"/>
      <c r="T30"/>
      <c r="U30"/>
    </row>
    <row r="31" spans="1:21" ht="15" customHeight="1" x14ac:dyDescent="0.25">
      <c r="B31" s="31"/>
      <c r="C31" s="31"/>
      <c r="D31" s="31"/>
      <c r="E31" s="31"/>
      <c r="F31" s="31"/>
      <c r="G31" s="31"/>
      <c r="H31" s="31"/>
      <c r="I31" s="31"/>
      <c r="J31" s="31"/>
      <c r="K31"/>
      <c r="L31"/>
      <c r="M31"/>
      <c r="N31"/>
      <c r="O31"/>
      <c r="P31"/>
      <c r="Q31"/>
      <c r="R31"/>
      <c r="S31"/>
      <c r="T31"/>
      <c r="U31"/>
    </row>
    <row r="32" spans="1:21" ht="15" customHeight="1" x14ac:dyDescent="0.25">
      <c r="J32" s="31"/>
      <c r="K32"/>
      <c r="L32"/>
      <c r="M32"/>
      <c r="N32"/>
      <c r="O32"/>
      <c r="P32"/>
      <c r="Q32"/>
      <c r="R32"/>
      <c r="S32"/>
      <c r="T32"/>
      <c r="U32"/>
    </row>
    <row r="33" spans="2:21" ht="15" customHeight="1" x14ac:dyDescent="0.25">
      <c r="J33" s="31"/>
      <c r="K33"/>
      <c r="L33"/>
      <c r="M33"/>
      <c r="N33"/>
      <c r="O33"/>
      <c r="P33"/>
      <c r="Q33"/>
      <c r="R33"/>
      <c r="S33"/>
      <c r="T33"/>
      <c r="U33"/>
    </row>
    <row r="34" spans="2:21" ht="15" customHeight="1" x14ac:dyDescent="0.25">
      <c r="J34" s="31"/>
      <c r="K34"/>
      <c r="L34"/>
      <c r="M34"/>
      <c r="N34"/>
      <c r="O34"/>
      <c r="P34"/>
      <c r="Q34"/>
      <c r="R34"/>
      <c r="S34"/>
      <c r="T34"/>
      <c r="U34"/>
    </row>
    <row r="35" spans="2:21" ht="15" customHeight="1" x14ac:dyDescent="0.25">
      <c r="J35" s="31"/>
      <c r="K35"/>
      <c r="L35"/>
      <c r="M35"/>
      <c r="N35"/>
      <c r="O35"/>
      <c r="P35"/>
      <c r="Q35"/>
      <c r="R35"/>
      <c r="S35"/>
      <c r="T35"/>
      <c r="U35"/>
    </row>
    <row r="36" spans="2:21" ht="15" customHeight="1" x14ac:dyDescent="0.25">
      <c r="J36" s="31"/>
      <c r="K36"/>
      <c r="L36"/>
      <c r="M36"/>
      <c r="N36"/>
      <c r="O36"/>
      <c r="P36"/>
      <c r="Q36"/>
      <c r="R36"/>
      <c r="S36"/>
      <c r="T36"/>
      <c r="U36"/>
    </row>
    <row r="37" spans="2:21" ht="15" customHeight="1" x14ac:dyDescent="0.25">
      <c r="J37" s="31"/>
      <c r="K37"/>
      <c r="L37"/>
      <c r="M37"/>
      <c r="N37"/>
      <c r="O37"/>
      <c r="P37"/>
      <c r="Q37"/>
      <c r="R37"/>
      <c r="S37"/>
      <c r="T37"/>
      <c r="U37"/>
    </row>
    <row r="38" spans="2:21" ht="15" customHeight="1" x14ac:dyDescent="0.25">
      <c r="J38" s="31"/>
      <c r="K38"/>
      <c r="L38"/>
      <c r="M38"/>
      <c r="N38"/>
      <c r="O38"/>
      <c r="P38"/>
      <c r="Q38"/>
      <c r="R38"/>
      <c r="S38"/>
      <c r="T38"/>
      <c r="U38"/>
    </row>
    <row r="39" spans="2:21" ht="15" customHeight="1" x14ac:dyDescent="0.25">
      <c r="J39" s="31"/>
      <c r="K39"/>
      <c r="L39"/>
      <c r="M39"/>
      <c r="N39"/>
      <c r="O39"/>
      <c r="P39"/>
      <c r="Q39"/>
      <c r="R39"/>
      <c r="S39"/>
      <c r="T39"/>
      <c r="U39"/>
    </row>
    <row r="40" spans="2:21" ht="15" customHeight="1" x14ac:dyDescent="0.25">
      <c r="J40" s="31"/>
      <c r="K40"/>
      <c r="L40"/>
      <c r="M40"/>
      <c r="N40"/>
      <c r="O40"/>
      <c r="P40"/>
      <c r="Q40"/>
      <c r="R40"/>
      <c r="S40"/>
      <c r="T40"/>
      <c r="U40"/>
    </row>
    <row r="41" spans="2:21" ht="15" customHeight="1" x14ac:dyDescent="0.25">
      <c r="J41" s="31"/>
      <c r="K41"/>
      <c r="L41"/>
      <c r="M41"/>
      <c r="N41"/>
      <c r="O41"/>
      <c r="P41"/>
      <c r="Q41"/>
      <c r="R41"/>
      <c r="S41"/>
      <c r="T41"/>
      <c r="U41"/>
    </row>
    <row r="42" spans="2:21" ht="15" customHeight="1" x14ac:dyDescent="0.25">
      <c r="J42" s="31"/>
      <c r="K42"/>
      <c r="L42"/>
      <c r="M42"/>
      <c r="N42"/>
      <c r="O42"/>
      <c r="P42"/>
      <c r="Q42"/>
      <c r="R42"/>
      <c r="S42"/>
      <c r="T42"/>
      <c r="U42"/>
    </row>
    <row r="43" spans="2:21" ht="15" customHeight="1" x14ac:dyDescent="0.25">
      <c r="J43" s="31"/>
      <c r="K43"/>
      <c r="L43"/>
      <c r="M43"/>
      <c r="N43"/>
      <c r="O43"/>
      <c r="P43"/>
      <c r="Q43"/>
      <c r="R43"/>
      <c r="S43"/>
      <c r="T43"/>
      <c r="U43"/>
    </row>
    <row r="44" spans="2:21" ht="15" customHeight="1" x14ac:dyDescent="0.25">
      <c r="J44" s="31"/>
      <c r="K44"/>
      <c r="L44"/>
      <c r="M44"/>
      <c r="N44"/>
      <c r="O44"/>
      <c r="P44"/>
      <c r="Q44"/>
      <c r="R44"/>
      <c r="S44"/>
      <c r="T44"/>
      <c r="U44"/>
    </row>
    <row r="45" spans="2:21" ht="15" customHeight="1" x14ac:dyDescent="0.25">
      <c r="J45" s="31"/>
      <c r="K45"/>
      <c r="L45"/>
      <c r="M45"/>
      <c r="N45"/>
      <c r="O45"/>
      <c r="P45"/>
      <c r="Q45"/>
      <c r="R45"/>
      <c r="S45"/>
      <c r="T45"/>
      <c r="U45"/>
    </row>
    <row r="46" spans="2:21" ht="15" customHeight="1" x14ac:dyDescent="0.25">
      <c r="B46" s="31"/>
      <c r="C46" s="31"/>
      <c r="D46" s="31"/>
      <c r="E46" s="31"/>
      <c r="F46" s="31"/>
      <c r="G46" s="31"/>
      <c r="H46" s="31"/>
      <c r="I46" s="31"/>
      <c r="J46" s="31"/>
      <c r="K46"/>
      <c r="L46"/>
      <c r="M46"/>
      <c r="N46"/>
      <c r="O46"/>
      <c r="P46"/>
      <c r="Q46"/>
      <c r="R46"/>
      <c r="S46"/>
      <c r="T46"/>
      <c r="U46"/>
    </row>
    <row r="47" spans="2:21" ht="15" customHeight="1" x14ac:dyDescent="0.25">
      <c r="B47" s="31"/>
      <c r="C47" s="31"/>
      <c r="D47" s="31"/>
      <c r="E47" s="31"/>
      <c r="F47" s="31"/>
      <c r="G47" s="31"/>
      <c r="H47" s="31"/>
      <c r="I47" s="31"/>
      <c r="J47" s="31"/>
      <c r="K47"/>
      <c r="L47"/>
      <c r="M47"/>
      <c r="N47"/>
      <c r="O47"/>
      <c r="P47"/>
      <c r="Q47"/>
      <c r="R47"/>
      <c r="S47"/>
      <c r="T47"/>
      <c r="U47"/>
    </row>
    <row r="48" spans="2:21" ht="15" customHeight="1" x14ac:dyDescent="0.25">
      <c r="B48" s="31"/>
      <c r="C48" s="31"/>
      <c r="D48" s="31"/>
      <c r="E48" s="31"/>
      <c r="F48" s="31"/>
      <c r="G48" s="31"/>
      <c r="H48" s="31"/>
      <c r="I48" s="31"/>
      <c r="J48" s="31"/>
      <c r="K48"/>
      <c r="L48"/>
      <c r="M48"/>
      <c r="N48"/>
      <c r="O48"/>
      <c r="P48"/>
      <c r="Q48"/>
      <c r="R48"/>
      <c r="S48"/>
      <c r="T48"/>
      <c r="U48"/>
    </row>
    <row r="49" spans="2:21" ht="15" customHeight="1" x14ac:dyDescent="0.25">
      <c r="B49" s="31"/>
      <c r="C49" s="31"/>
      <c r="D49" s="31"/>
      <c r="E49" s="31"/>
      <c r="F49" s="31"/>
      <c r="G49" s="31"/>
      <c r="H49" s="31"/>
      <c r="I49" s="31"/>
      <c r="J49" s="31"/>
      <c r="K49"/>
      <c r="L49"/>
      <c r="M49"/>
      <c r="N49"/>
      <c r="O49"/>
      <c r="P49"/>
      <c r="Q49"/>
      <c r="R49"/>
      <c r="S49"/>
      <c r="T49"/>
      <c r="U49"/>
    </row>
    <row r="50" spans="2:21" ht="15" customHeight="1" x14ac:dyDescent="0.25">
      <c r="B50" s="31"/>
      <c r="C50" s="31"/>
      <c r="D50" s="31"/>
      <c r="E50" s="31"/>
      <c r="F50" s="31"/>
      <c r="G50" s="31"/>
      <c r="H50" s="31"/>
      <c r="I50" s="31"/>
      <c r="J50" s="31"/>
      <c r="K50"/>
      <c r="L50"/>
      <c r="M50"/>
      <c r="N50"/>
      <c r="O50"/>
      <c r="P50"/>
      <c r="Q50"/>
      <c r="R50"/>
      <c r="S50"/>
      <c r="T50"/>
      <c r="U50"/>
    </row>
    <row r="51" spans="2:21" ht="15" customHeight="1" x14ac:dyDescent="0.25">
      <c r="B51" s="31"/>
      <c r="C51" s="31"/>
      <c r="D51" s="31"/>
      <c r="E51" s="31"/>
      <c r="F51" s="31"/>
      <c r="G51" s="31"/>
      <c r="H51" s="31"/>
      <c r="I51" s="31"/>
      <c r="J51" s="31"/>
      <c r="K51"/>
      <c r="L51"/>
      <c r="M51"/>
      <c r="N51"/>
      <c r="O51"/>
      <c r="P51"/>
      <c r="Q51"/>
      <c r="R51"/>
      <c r="S51"/>
      <c r="T51"/>
      <c r="U51"/>
    </row>
    <row r="52" spans="2:21" ht="15" customHeight="1" x14ac:dyDescent="0.25">
      <c r="B52" s="31"/>
      <c r="C52" s="31"/>
      <c r="D52" s="31"/>
      <c r="E52" s="31"/>
      <c r="F52" s="31"/>
      <c r="G52" s="31"/>
      <c r="H52" s="31"/>
      <c r="I52" s="31"/>
      <c r="J52" s="31"/>
      <c r="K52"/>
      <c r="L52"/>
      <c r="M52"/>
      <c r="N52"/>
      <c r="O52"/>
      <c r="P52"/>
      <c r="Q52"/>
      <c r="R52"/>
      <c r="S52"/>
      <c r="T52"/>
      <c r="U52"/>
    </row>
    <row r="53" spans="2:21" ht="15" customHeight="1" x14ac:dyDescent="0.25">
      <c r="B53" s="31"/>
      <c r="C53" s="31"/>
      <c r="D53" s="31"/>
      <c r="E53" s="31"/>
      <c r="F53" s="31"/>
      <c r="G53" s="31"/>
      <c r="H53" s="31"/>
      <c r="I53" s="31"/>
      <c r="J53" s="31"/>
      <c r="K53"/>
      <c r="L53"/>
      <c r="M53"/>
      <c r="N53"/>
      <c r="O53"/>
      <c r="P53"/>
      <c r="Q53"/>
      <c r="R53"/>
      <c r="S53"/>
      <c r="T53"/>
      <c r="U53"/>
    </row>
    <row r="54" spans="2:21" ht="15" customHeight="1" x14ac:dyDescent="0.25">
      <c r="B54" s="31"/>
      <c r="C54" s="31"/>
      <c r="D54" s="31"/>
      <c r="E54" s="31"/>
      <c r="F54" s="31"/>
      <c r="G54" s="31"/>
      <c r="H54" s="31"/>
      <c r="I54" s="31"/>
      <c r="J54" s="31"/>
      <c r="K54"/>
      <c r="L54"/>
      <c r="M54"/>
      <c r="N54"/>
      <c r="O54"/>
      <c r="P54"/>
      <c r="Q54"/>
      <c r="R54"/>
      <c r="S54"/>
      <c r="T54"/>
      <c r="U54"/>
    </row>
    <row r="55" spans="2:21" ht="15" customHeight="1" x14ac:dyDescent="0.25">
      <c r="B55" s="31"/>
      <c r="C55" s="31"/>
      <c r="D55" s="31"/>
      <c r="E55" s="31"/>
      <c r="F55" s="31"/>
      <c r="G55" s="31"/>
      <c r="H55" s="31"/>
      <c r="I55" s="31"/>
      <c r="J55" s="31"/>
      <c r="K55"/>
      <c r="L55"/>
      <c r="M55"/>
      <c r="N55"/>
      <c r="O55"/>
      <c r="P55"/>
      <c r="Q55"/>
      <c r="R55"/>
      <c r="S55"/>
      <c r="T55"/>
      <c r="U55"/>
    </row>
    <row r="56" spans="2:21" ht="15" customHeight="1" x14ac:dyDescent="0.25">
      <c r="B56" s="31"/>
      <c r="C56" s="31"/>
      <c r="D56" s="31"/>
      <c r="E56" s="31"/>
      <c r="F56" s="31"/>
      <c r="G56" s="31"/>
      <c r="H56" s="31"/>
      <c r="I56" s="31"/>
      <c r="J56" s="31"/>
      <c r="K56"/>
      <c r="L56"/>
      <c r="M56"/>
      <c r="N56"/>
      <c r="O56"/>
      <c r="P56"/>
      <c r="Q56"/>
      <c r="R56"/>
      <c r="S56"/>
      <c r="T56"/>
      <c r="U56"/>
    </row>
    <row r="57" spans="2:21" ht="15" customHeight="1" x14ac:dyDescent="0.25">
      <c r="B57" s="31"/>
      <c r="C57" s="31"/>
      <c r="D57" s="31"/>
      <c r="E57" s="31"/>
      <c r="F57" s="31"/>
      <c r="G57" s="31"/>
      <c r="H57" s="31"/>
      <c r="I57" s="31"/>
      <c r="J57" s="31"/>
      <c r="K57"/>
      <c r="L57"/>
      <c r="M57"/>
      <c r="N57"/>
      <c r="O57"/>
      <c r="P57"/>
      <c r="Q57"/>
      <c r="R57"/>
      <c r="S57"/>
      <c r="T57"/>
      <c r="U57"/>
    </row>
    <row r="58" spans="2:21" ht="15" customHeight="1" x14ac:dyDescent="0.25">
      <c r="B58" s="31"/>
      <c r="C58" s="31"/>
      <c r="D58" s="31"/>
      <c r="E58" s="31"/>
      <c r="F58" s="31"/>
      <c r="G58" s="31"/>
      <c r="H58" s="31"/>
      <c r="I58" s="31"/>
      <c r="J58" s="31"/>
      <c r="K58"/>
      <c r="L58"/>
      <c r="M58"/>
      <c r="N58"/>
      <c r="O58"/>
      <c r="P58"/>
      <c r="Q58"/>
      <c r="R58"/>
      <c r="S58"/>
      <c r="T58"/>
      <c r="U58"/>
    </row>
    <row r="59" spans="2:21" ht="15" customHeight="1" x14ac:dyDescent="0.25">
      <c r="B59" s="31"/>
      <c r="C59" s="31"/>
      <c r="D59" s="31"/>
      <c r="E59" s="31"/>
      <c r="F59" s="31"/>
      <c r="G59" s="31"/>
      <c r="H59" s="31"/>
      <c r="I59" s="31"/>
      <c r="J59" s="31"/>
      <c r="K59"/>
      <c r="L59"/>
      <c r="M59"/>
      <c r="N59"/>
      <c r="O59"/>
      <c r="P59"/>
      <c r="Q59"/>
      <c r="R59"/>
      <c r="S59"/>
      <c r="T59"/>
      <c r="U59"/>
    </row>
    <row r="60" spans="2:21" ht="15" customHeight="1" x14ac:dyDescent="0.25">
      <c r="B60" s="31"/>
      <c r="C60" s="31"/>
      <c r="D60" s="31"/>
      <c r="E60" s="31"/>
      <c r="F60" s="31"/>
      <c r="G60" s="31"/>
      <c r="H60" s="31"/>
      <c r="I60" s="31"/>
      <c r="J60" s="31"/>
      <c r="K60"/>
      <c r="L60"/>
      <c r="M60"/>
      <c r="N60"/>
      <c r="O60"/>
      <c r="P60"/>
      <c r="Q60"/>
      <c r="R60"/>
      <c r="S60"/>
      <c r="T60"/>
      <c r="U60"/>
    </row>
    <row r="61" spans="2:21" ht="15" customHeight="1" x14ac:dyDescent="0.25">
      <c r="B61" s="31"/>
      <c r="C61" s="31"/>
      <c r="D61" s="31"/>
      <c r="E61" s="31"/>
      <c r="F61" s="31"/>
      <c r="G61" s="31"/>
      <c r="H61" s="31"/>
      <c r="I61" s="31"/>
      <c r="J61" s="31"/>
      <c r="K61"/>
      <c r="L61"/>
      <c r="M61"/>
      <c r="N61"/>
      <c r="O61"/>
      <c r="P61"/>
      <c r="Q61"/>
      <c r="R61"/>
      <c r="S61"/>
      <c r="T61"/>
      <c r="U61"/>
    </row>
    <row r="62" spans="2:21" ht="15" customHeight="1" x14ac:dyDescent="0.25">
      <c r="B62" s="31"/>
      <c r="C62" s="31"/>
      <c r="D62" s="31"/>
      <c r="E62" s="31"/>
      <c r="F62" s="31"/>
      <c r="G62" s="31"/>
      <c r="H62" s="31"/>
      <c r="I62" s="31"/>
      <c r="J62" s="31"/>
      <c r="K62"/>
      <c r="L62"/>
      <c r="M62"/>
      <c r="N62"/>
      <c r="O62"/>
      <c r="P62"/>
      <c r="Q62"/>
      <c r="R62"/>
      <c r="S62"/>
      <c r="T62"/>
      <c r="U62"/>
    </row>
    <row r="63" spans="2:21" ht="15" customHeight="1" x14ac:dyDescent="0.25">
      <c r="B63" s="31"/>
      <c r="C63" s="31"/>
      <c r="D63" s="31"/>
      <c r="E63" s="31"/>
      <c r="F63" s="31"/>
      <c r="G63" s="31"/>
      <c r="H63" s="31"/>
      <c r="I63" s="31"/>
      <c r="J63" s="31"/>
      <c r="K63"/>
      <c r="L63"/>
      <c r="M63"/>
      <c r="N63"/>
      <c r="O63"/>
      <c r="P63"/>
      <c r="Q63"/>
      <c r="R63"/>
      <c r="S63"/>
      <c r="T63"/>
      <c r="U63"/>
    </row>
    <row r="64" spans="2:21" ht="15" customHeight="1" x14ac:dyDescent="0.25">
      <c r="B64" s="31"/>
      <c r="C64" s="31"/>
      <c r="D64" s="31"/>
      <c r="E64" s="31"/>
      <c r="F64" s="31"/>
      <c r="G64" s="31"/>
      <c r="H64" s="31"/>
      <c r="I64" s="31"/>
      <c r="J64" s="31"/>
      <c r="K64"/>
      <c r="L64"/>
      <c r="M64"/>
      <c r="N64"/>
      <c r="O64"/>
      <c r="P64"/>
      <c r="Q64"/>
      <c r="R64"/>
      <c r="S64"/>
      <c r="T64"/>
      <c r="U64"/>
    </row>
    <row r="65" spans="2:21" ht="15" customHeight="1" x14ac:dyDescent="0.25">
      <c r="B65" s="31"/>
      <c r="C65" s="31"/>
      <c r="D65" s="31"/>
      <c r="E65" s="31"/>
      <c r="F65" s="31"/>
      <c r="G65" s="31"/>
      <c r="H65" s="31"/>
      <c r="I65" s="31"/>
      <c r="J65" s="31"/>
      <c r="K65"/>
      <c r="L65"/>
      <c r="M65"/>
      <c r="N65"/>
      <c r="O65"/>
      <c r="P65"/>
      <c r="Q65"/>
      <c r="R65"/>
      <c r="S65"/>
      <c r="T65"/>
      <c r="U65"/>
    </row>
    <row r="66" spans="2:21" ht="15" customHeight="1" x14ac:dyDescent="0.25">
      <c r="B66" s="31"/>
      <c r="C66" s="31"/>
      <c r="D66" s="31"/>
      <c r="E66" s="31"/>
      <c r="F66" s="31"/>
      <c r="G66" s="31"/>
      <c r="H66" s="31"/>
      <c r="I66" s="31"/>
      <c r="J66" s="31"/>
      <c r="K66"/>
      <c r="L66"/>
      <c r="M66"/>
      <c r="N66"/>
      <c r="O66"/>
      <c r="P66"/>
      <c r="Q66"/>
      <c r="R66"/>
      <c r="S66"/>
      <c r="T66"/>
      <c r="U66"/>
    </row>
    <row r="67" spans="2:21" ht="15" customHeight="1" x14ac:dyDescent="0.25">
      <c r="B67" s="31"/>
      <c r="C67" s="31"/>
      <c r="D67" s="31"/>
      <c r="E67" s="31"/>
      <c r="F67" s="31"/>
      <c r="G67" s="31"/>
      <c r="H67" s="31"/>
      <c r="I67" s="31"/>
      <c r="J67" s="31"/>
      <c r="K67"/>
      <c r="L67"/>
      <c r="M67"/>
      <c r="N67"/>
      <c r="O67"/>
      <c r="P67"/>
      <c r="Q67"/>
      <c r="R67"/>
      <c r="S67"/>
      <c r="T67"/>
      <c r="U67"/>
    </row>
    <row r="68" spans="2:21" ht="15" customHeight="1" x14ac:dyDescent="0.25">
      <c r="B68" s="31"/>
      <c r="C68" s="31"/>
      <c r="D68" s="31"/>
      <c r="E68" s="31"/>
      <c r="F68" s="31"/>
      <c r="G68" s="31"/>
      <c r="H68" s="31"/>
      <c r="I68" s="31"/>
      <c r="J68" s="31"/>
      <c r="K68"/>
      <c r="L68"/>
      <c r="M68"/>
      <c r="N68"/>
      <c r="O68"/>
      <c r="P68"/>
      <c r="Q68"/>
      <c r="R68"/>
      <c r="S68"/>
      <c r="T68"/>
      <c r="U68"/>
    </row>
    <row r="69" spans="2:21" ht="15" customHeight="1" x14ac:dyDescent="0.25">
      <c r="B69" s="31"/>
      <c r="C69" s="31"/>
      <c r="D69" s="31"/>
      <c r="E69" s="31"/>
      <c r="F69" s="31"/>
      <c r="G69" s="31"/>
      <c r="H69" s="31"/>
      <c r="I69" s="31"/>
      <c r="J69" s="31"/>
      <c r="K69"/>
      <c r="L69"/>
      <c r="M69"/>
      <c r="N69"/>
      <c r="O69"/>
      <c r="P69"/>
      <c r="Q69"/>
      <c r="R69"/>
      <c r="S69"/>
      <c r="T69"/>
      <c r="U69"/>
    </row>
    <row r="70" spans="2:21" ht="15" customHeight="1" x14ac:dyDescent="0.25">
      <c r="B70" s="31"/>
      <c r="C70" s="31"/>
      <c r="D70" s="31"/>
      <c r="E70" s="31"/>
      <c r="F70" s="31"/>
      <c r="G70" s="31"/>
      <c r="H70" s="31"/>
      <c r="I70" s="31"/>
      <c r="J70" s="31"/>
      <c r="K70"/>
      <c r="L70"/>
      <c r="M70"/>
      <c r="N70"/>
      <c r="O70"/>
      <c r="P70"/>
      <c r="Q70"/>
      <c r="R70"/>
      <c r="S70"/>
      <c r="T70"/>
      <c r="U70"/>
    </row>
    <row r="71" spans="2:21" ht="15" customHeight="1" x14ac:dyDescent="0.25">
      <c r="B71" s="31"/>
      <c r="C71" s="31"/>
      <c r="D71" s="31"/>
      <c r="E71" s="31"/>
      <c r="F71" s="31"/>
      <c r="G71" s="31"/>
      <c r="H71" s="31"/>
      <c r="I71" s="31"/>
      <c r="J71" s="31"/>
      <c r="K71"/>
      <c r="L71"/>
      <c r="M71"/>
      <c r="N71"/>
      <c r="O71"/>
      <c r="P71"/>
      <c r="Q71"/>
      <c r="R71"/>
      <c r="S71"/>
      <c r="T71"/>
      <c r="U71"/>
    </row>
    <row r="72" spans="2:21" ht="15" customHeight="1" x14ac:dyDescent="0.25">
      <c r="B72" s="31"/>
      <c r="C72" s="31"/>
      <c r="D72" s="31"/>
      <c r="E72" s="31"/>
      <c r="F72" s="31"/>
      <c r="G72" s="31"/>
      <c r="H72" s="31"/>
      <c r="I72" s="31"/>
      <c r="J72" s="31"/>
      <c r="K72"/>
      <c r="L72"/>
      <c r="M72"/>
      <c r="N72"/>
      <c r="O72"/>
      <c r="P72"/>
      <c r="Q72"/>
      <c r="R72"/>
      <c r="S72"/>
      <c r="T72"/>
      <c r="U72"/>
    </row>
    <row r="73" spans="2:21" ht="15" customHeight="1" x14ac:dyDescent="0.25">
      <c r="B73" s="31"/>
      <c r="C73" s="31"/>
      <c r="D73" s="31"/>
      <c r="E73" s="31"/>
      <c r="F73" s="31"/>
      <c r="G73" s="31"/>
      <c r="H73" s="31"/>
      <c r="I73" s="31"/>
      <c r="J73" s="31"/>
      <c r="K73"/>
      <c r="L73"/>
      <c r="M73"/>
      <c r="N73"/>
      <c r="O73"/>
      <c r="P73"/>
      <c r="Q73"/>
      <c r="R73"/>
      <c r="S73"/>
      <c r="T73"/>
      <c r="U73"/>
    </row>
    <row r="74" spans="2:21" ht="15" customHeight="1" x14ac:dyDescent="0.25">
      <c r="B74" s="31"/>
      <c r="C74" s="31"/>
      <c r="D74" s="31"/>
      <c r="E74" s="31"/>
      <c r="F74" s="31"/>
      <c r="G74" s="31"/>
      <c r="H74" s="31"/>
      <c r="I74" s="31"/>
      <c r="J74" s="31"/>
      <c r="K74"/>
      <c r="L74"/>
      <c r="M74"/>
      <c r="N74"/>
      <c r="O74"/>
      <c r="P74"/>
      <c r="Q74"/>
      <c r="R74"/>
      <c r="S74"/>
      <c r="T74"/>
      <c r="U74"/>
    </row>
    <row r="75" spans="2:21" ht="15" customHeight="1" x14ac:dyDescent="0.25">
      <c r="B75" s="31"/>
      <c r="C75" s="31"/>
      <c r="D75" s="31"/>
      <c r="E75" s="31"/>
      <c r="F75" s="31"/>
      <c r="G75" s="31"/>
      <c r="H75" s="31"/>
      <c r="I75" s="31"/>
      <c r="J75" s="31"/>
      <c r="K75"/>
      <c r="L75"/>
      <c r="M75"/>
      <c r="N75"/>
      <c r="O75"/>
      <c r="P75"/>
      <c r="Q75"/>
      <c r="R75"/>
      <c r="S75"/>
      <c r="T75"/>
      <c r="U75"/>
    </row>
    <row r="76" spans="2:21" ht="15" customHeight="1" x14ac:dyDescent="0.25">
      <c r="B76" s="31"/>
      <c r="C76" s="31"/>
      <c r="D76" s="31"/>
      <c r="E76" s="31"/>
      <c r="F76" s="31"/>
      <c r="G76" s="31"/>
      <c r="H76" s="31"/>
      <c r="I76" s="31"/>
      <c r="J76" s="31"/>
      <c r="K76"/>
      <c r="L76"/>
      <c r="M76"/>
      <c r="N76"/>
      <c r="O76"/>
      <c r="P76"/>
      <c r="Q76"/>
      <c r="R76"/>
      <c r="S76"/>
      <c r="T76"/>
      <c r="U76"/>
    </row>
    <row r="77" spans="2:21" ht="15" customHeight="1" x14ac:dyDescent="0.25">
      <c r="B77" s="31"/>
      <c r="C77" s="31"/>
      <c r="D77" s="31"/>
      <c r="E77" s="31"/>
      <c r="F77" s="31"/>
      <c r="G77" s="31"/>
      <c r="H77" s="31"/>
      <c r="I77" s="31"/>
      <c r="J77" s="31"/>
      <c r="K77"/>
      <c r="L77"/>
      <c r="M77"/>
      <c r="N77"/>
      <c r="O77"/>
      <c r="P77"/>
      <c r="Q77"/>
      <c r="R77"/>
      <c r="S77"/>
      <c r="T77"/>
      <c r="U77"/>
    </row>
    <row r="78" spans="2:21" ht="15" customHeight="1" x14ac:dyDescent="0.25">
      <c r="B78" s="31"/>
      <c r="C78" s="31"/>
      <c r="D78" s="31"/>
      <c r="E78" s="31"/>
      <c r="F78" s="31"/>
      <c r="G78" s="31"/>
      <c r="H78" s="31"/>
      <c r="I78" s="31"/>
      <c r="J78" s="31"/>
      <c r="K78"/>
      <c r="L78"/>
      <c r="M78"/>
      <c r="N78"/>
      <c r="O78"/>
      <c r="P78"/>
      <c r="Q78"/>
      <c r="R78"/>
      <c r="S78"/>
      <c r="T78"/>
      <c r="U78"/>
    </row>
    <row r="79" spans="2:21" ht="15" customHeight="1" x14ac:dyDescent="0.25">
      <c r="B79" s="31"/>
      <c r="C79" s="31"/>
      <c r="D79" s="31"/>
      <c r="E79" s="31"/>
      <c r="F79" s="31"/>
      <c r="G79" s="31"/>
      <c r="H79" s="31"/>
      <c r="I79" s="31"/>
      <c r="J79" s="31"/>
      <c r="K79"/>
      <c r="L79"/>
      <c r="M79"/>
      <c r="N79"/>
      <c r="O79"/>
      <c r="P79"/>
      <c r="Q79"/>
      <c r="R79"/>
      <c r="S79"/>
      <c r="T79"/>
      <c r="U79"/>
    </row>
    <row r="80" spans="2:21" ht="15" customHeight="1" x14ac:dyDescent="0.25">
      <c r="B80" s="31"/>
      <c r="C80" s="31"/>
      <c r="D80" s="31"/>
      <c r="E80" s="31"/>
      <c r="F80" s="31"/>
      <c r="G80" s="31"/>
      <c r="H80" s="31"/>
      <c r="I80" s="31"/>
      <c r="J80" s="31"/>
      <c r="K80"/>
      <c r="L80"/>
      <c r="M80"/>
      <c r="N80"/>
      <c r="O80"/>
      <c r="P80"/>
      <c r="Q80"/>
      <c r="R80"/>
      <c r="S80"/>
      <c r="T80"/>
      <c r="U80"/>
    </row>
    <row r="81" spans="2:21" ht="15" customHeight="1" x14ac:dyDescent="0.25">
      <c r="B81" s="31"/>
      <c r="C81" s="31"/>
      <c r="D81" s="31"/>
      <c r="E81" s="31"/>
      <c r="F81" s="31"/>
      <c r="G81" s="31"/>
      <c r="H81" s="31"/>
      <c r="I81" s="31"/>
      <c r="J81" s="31"/>
      <c r="K81"/>
      <c r="L81"/>
      <c r="M81"/>
      <c r="N81"/>
      <c r="O81"/>
      <c r="P81"/>
      <c r="Q81"/>
      <c r="R81"/>
      <c r="S81"/>
      <c r="T81"/>
      <c r="U81"/>
    </row>
    <row r="82" spans="2:21" ht="15" customHeight="1" x14ac:dyDescent="0.25">
      <c r="B82" s="31"/>
      <c r="C82" s="31"/>
      <c r="D82" s="31"/>
      <c r="E82" s="31"/>
      <c r="F82" s="31"/>
      <c r="G82" s="31"/>
      <c r="H82" s="31"/>
      <c r="I82" s="31"/>
      <c r="J82" s="31"/>
      <c r="K82"/>
      <c r="L82"/>
      <c r="M82"/>
      <c r="N82"/>
      <c r="O82"/>
      <c r="P82"/>
      <c r="Q82"/>
      <c r="R82"/>
      <c r="S82"/>
      <c r="T82"/>
      <c r="U82"/>
    </row>
    <row r="83" spans="2:21" ht="15" customHeight="1" x14ac:dyDescent="0.25">
      <c r="B83" s="31"/>
      <c r="C83" s="31"/>
      <c r="D83" s="31"/>
      <c r="E83" s="31"/>
      <c r="F83" s="31"/>
      <c r="G83" s="31"/>
      <c r="H83" s="31"/>
      <c r="I83" s="31"/>
      <c r="J83" s="31"/>
      <c r="K83"/>
      <c r="L83"/>
      <c r="M83"/>
      <c r="N83"/>
      <c r="O83"/>
      <c r="P83"/>
      <c r="Q83"/>
      <c r="R83"/>
      <c r="S83"/>
      <c r="T83"/>
      <c r="U83"/>
    </row>
    <row r="84" spans="2:21" ht="15" customHeight="1" x14ac:dyDescent="0.25">
      <c r="B84" s="31"/>
      <c r="C84" s="31"/>
      <c r="D84" s="31"/>
      <c r="E84" s="31"/>
      <c r="F84" s="31"/>
      <c r="G84" s="31"/>
      <c r="H84" s="31"/>
      <c r="I84" s="31"/>
      <c r="J84" s="31"/>
      <c r="K84"/>
      <c r="L84"/>
      <c r="M84"/>
      <c r="N84"/>
      <c r="O84"/>
      <c r="P84"/>
      <c r="Q84"/>
      <c r="R84"/>
      <c r="S84"/>
      <c r="T84"/>
      <c r="U84"/>
    </row>
    <row r="85" spans="2:21" ht="15" customHeight="1" x14ac:dyDescent="0.25">
      <c r="B85" s="31"/>
      <c r="C85" s="31"/>
      <c r="D85" s="31"/>
      <c r="E85" s="31"/>
      <c r="F85" s="31"/>
      <c r="G85" s="31"/>
      <c r="H85" s="31"/>
      <c r="I85" s="31"/>
      <c r="J85" s="31"/>
      <c r="K85"/>
      <c r="L85"/>
      <c r="M85"/>
      <c r="N85"/>
      <c r="O85"/>
      <c r="P85"/>
      <c r="Q85"/>
      <c r="R85"/>
      <c r="S85"/>
      <c r="T85"/>
      <c r="U85"/>
    </row>
    <row r="86" spans="2:21" ht="15" customHeight="1" x14ac:dyDescent="0.25">
      <c r="B86" s="31"/>
      <c r="C86" s="31"/>
      <c r="D86" s="31"/>
      <c r="E86" s="31"/>
      <c r="F86" s="31"/>
      <c r="G86" s="31"/>
      <c r="H86" s="31"/>
      <c r="I86" s="31"/>
      <c r="J86" s="31"/>
      <c r="K86"/>
      <c r="L86"/>
      <c r="M86"/>
      <c r="N86"/>
      <c r="O86"/>
      <c r="P86"/>
      <c r="Q86"/>
      <c r="R86"/>
      <c r="S86"/>
      <c r="T86"/>
      <c r="U86"/>
    </row>
    <row r="87" spans="2:21" ht="15" customHeight="1" x14ac:dyDescent="0.25">
      <c r="B87" s="31"/>
      <c r="C87" s="31"/>
      <c r="D87" s="31"/>
      <c r="E87" s="31"/>
      <c r="F87" s="31"/>
      <c r="G87" s="31"/>
      <c r="H87" s="31"/>
      <c r="I87" s="31"/>
      <c r="J87" s="31"/>
      <c r="K87"/>
      <c r="L87"/>
      <c r="M87"/>
      <c r="N87"/>
      <c r="O87"/>
      <c r="P87"/>
      <c r="Q87"/>
      <c r="R87"/>
      <c r="S87"/>
      <c r="T87"/>
      <c r="U87"/>
    </row>
    <row r="88" spans="2:21" ht="15" customHeight="1" x14ac:dyDescent="0.25">
      <c r="B88" s="31"/>
      <c r="C88" s="31"/>
      <c r="D88" s="31"/>
      <c r="E88" s="31"/>
      <c r="F88" s="31"/>
      <c r="G88" s="31"/>
      <c r="H88" s="31"/>
      <c r="I88" s="31"/>
      <c r="J88" s="31"/>
      <c r="K88"/>
      <c r="L88"/>
      <c r="M88"/>
      <c r="N88"/>
      <c r="O88"/>
      <c r="P88"/>
      <c r="Q88"/>
      <c r="R88"/>
      <c r="S88"/>
      <c r="T88"/>
      <c r="U88"/>
    </row>
    <row r="89" spans="2:21" ht="15" customHeight="1" x14ac:dyDescent="0.25">
      <c r="B89" s="31"/>
      <c r="C89" s="31"/>
      <c r="D89" s="31"/>
      <c r="E89" s="31"/>
      <c r="F89" s="31"/>
      <c r="G89" s="31"/>
      <c r="H89" s="31"/>
      <c r="I89" s="31"/>
      <c r="J89" s="31"/>
      <c r="K89"/>
      <c r="L89"/>
      <c r="M89"/>
      <c r="N89"/>
      <c r="O89"/>
      <c r="P89"/>
      <c r="Q89"/>
      <c r="R89"/>
      <c r="S89"/>
      <c r="T89"/>
      <c r="U89"/>
    </row>
    <row r="90" spans="2:21" ht="15" customHeight="1" x14ac:dyDescent="0.25">
      <c r="B90" s="31"/>
      <c r="C90" s="31"/>
      <c r="D90" s="31"/>
      <c r="E90" s="31"/>
      <c r="F90" s="31"/>
      <c r="G90" s="31"/>
      <c r="H90" s="31"/>
      <c r="I90" s="31"/>
      <c r="J90" s="31"/>
      <c r="K90"/>
      <c r="L90"/>
      <c r="M90"/>
      <c r="N90"/>
      <c r="O90"/>
      <c r="P90"/>
      <c r="Q90"/>
      <c r="R90"/>
      <c r="S90"/>
      <c r="T90"/>
      <c r="U90"/>
    </row>
    <row r="91" spans="2:21" ht="15" customHeight="1" x14ac:dyDescent="0.25">
      <c r="B91" s="31"/>
      <c r="C91" s="31"/>
      <c r="D91" s="31"/>
      <c r="E91" s="31"/>
      <c r="F91" s="31"/>
      <c r="G91" s="31"/>
      <c r="H91" s="31"/>
      <c r="I91" s="31"/>
      <c r="J91" s="31"/>
      <c r="K91"/>
      <c r="L91"/>
      <c r="M91"/>
      <c r="N91"/>
      <c r="O91"/>
      <c r="P91"/>
      <c r="Q91"/>
      <c r="R91"/>
      <c r="S91"/>
      <c r="T91"/>
      <c r="U91"/>
    </row>
    <row r="92" spans="2:21" ht="15" customHeight="1" x14ac:dyDescent="0.25">
      <c r="B92" s="31"/>
      <c r="C92" s="31"/>
      <c r="D92" s="31"/>
      <c r="E92" s="31"/>
      <c r="F92" s="31"/>
      <c r="G92" s="31"/>
      <c r="H92" s="31"/>
      <c r="I92" s="31"/>
      <c r="J92" s="31"/>
      <c r="K92"/>
      <c r="L92"/>
      <c r="M92"/>
      <c r="N92"/>
      <c r="O92"/>
      <c r="P92"/>
      <c r="Q92"/>
      <c r="R92"/>
      <c r="S92"/>
      <c r="T92"/>
      <c r="U92"/>
    </row>
    <row r="93" spans="2:21" ht="15" customHeight="1" x14ac:dyDescent="0.25">
      <c r="B93" s="31"/>
      <c r="C93" s="31"/>
      <c r="D93" s="31"/>
      <c r="E93" s="31"/>
      <c r="F93" s="31"/>
      <c r="G93" s="31"/>
      <c r="H93" s="31"/>
      <c r="I93" s="31"/>
      <c r="J93" s="31"/>
      <c r="K93"/>
      <c r="L93"/>
      <c r="M93"/>
      <c r="N93"/>
      <c r="O93"/>
      <c r="P93"/>
      <c r="Q93"/>
      <c r="R93"/>
      <c r="S93"/>
      <c r="T93"/>
      <c r="U93"/>
    </row>
    <row r="94" spans="2:21" ht="15" customHeight="1" x14ac:dyDescent="0.25">
      <c r="B94" s="31"/>
      <c r="C94" s="31"/>
      <c r="D94" s="31"/>
      <c r="E94" s="31"/>
      <c r="F94" s="31"/>
      <c r="G94" s="31"/>
      <c r="H94" s="31"/>
      <c r="I94" s="31"/>
      <c r="J94" s="31"/>
      <c r="K94"/>
      <c r="L94"/>
      <c r="M94"/>
      <c r="N94"/>
      <c r="O94"/>
      <c r="P94"/>
      <c r="Q94"/>
      <c r="R94"/>
      <c r="S94"/>
      <c r="T94"/>
      <c r="U94"/>
    </row>
    <row r="95" spans="2:21" ht="15" customHeight="1" x14ac:dyDescent="0.25">
      <c r="B95" s="31"/>
      <c r="C95" s="31"/>
      <c r="D95" s="31"/>
      <c r="E95" s="31"/>
      <c r="F95" s="31"/>
      <c r="G95" s="31"/>
      <c r="H95" s="31"/>
      <c r="I95" s="31"/>
      <c r="J95" s="31"/>
      <c r="K95"/>
      <c r="L95"/>
      <c r="M95"/>
      <c r="N95"/>
      <c r="O95"/>
      <c r="P95"/>
      <c r="Q95"/>
      <c r="R95"/>
      <c r="S95"/>
      <c r="T95"/>
      <c r="U95"/>
    </row>
    <row r="96" spans="2:21" ht="15" customHeight="1" x14ac:dyDescent="0.25">
      <c r="B96" s="31"/>
      <c r="C96" s="31"/>
      <c r="D96" s="31"/>
      <c r="E96" s="31"/>
      <c r="F96" s="31"/>
      <c r="G96" s="31"/>
      <c r="H96" s="31"/>
      <c r="I96" s="31"/>
      <c r="J96" s="31"/>
      <c r="K96"/>
      <c r="L96"/>
      <c r="M96"/>
      <c r="N96"/>
      <c r="O96"/>
      <c r="P96"/>
      <c r="Q96"/>
      <c r="R96"/>
      <c r="S96"/>
      <c r="T96"/>
      <c r="U96"/>
    </row>
    <row r="97" spans="2:21" ht="15" customHeight="1" x14ac:dyDescent="0.25">
      <c r="B97" s="31"/>
      <c r="C97" s="31"/>
      <c r="D97" s="31"/>
      <c r="E97" s="31"/>
      <c r="F97" s="31"/>
      <c r="G97" s="31"/>
      <c r="H97" s="31"/>
      <c r="I97" s="31"/>
      <c r="J97" s="31"/>
      <c r="K97"/>
      <c r="L97"/>
      <c r="M97"/>
      <c r="N97"/>
      <c r="O97"/>
      <c r="P97"/>
      <c r="Q97"/>
      <c r="R97"/>
      <c r="S97"/>
      <c r="T97"/>
      <c r="U97"/>
    </row>
    <row r="98" spans="2:21" ht="15" customHeight="1" x14ac:dyDescent="0.25">
      <c r="B98" s="31"/>
      <c r="C98" s="31"/>
      <c r="D98" s="31"/>
      <c r="E98" s="31"/>
      <c r="F98" s="31"/>
      <c r="G98" s="31"/>
      <c r="H98" s="31"/>
      <c r="I98" s="31"/>
      <c r="J98" s="31"/>
      <c r="K98"/>
      <c r="L98"/>
      <c r="M98"/>
      <c r="N98"/>
      <c r="O98"/>
      <c r="P98"/>
      <c r="Q98"/>
      <c r="R98"/>
      <c r="S98"/>
      <c r="T98"/>
      <c r="U98"/>
    </row>
    <row r="99" spans="2:21" ht="15" customHeight="1" x14ac:dyDescent="0.25">
      <c r="B99" s="31"/>
      <c r="C99" s="31"/>
      <c r="D99" s="31"/>
      <c r="E99" s="31"/>
      <c r="F99" s="31"/>
      <c r="G99" s="31"/>
      <c r="H99" s="31"/>
      <c r="I99" s="31"/>
      <c r="J99" s="31"/>
      <c r="K99"/>
      <c r="L99"/>
      <c r="M99"/>
      <c r="N99"/>
      <c r="O99"/>
      <c r="P99"/>
      <c r="Q99"/>
      <c r="R99"/>
      <c r="S99"/>
      <c r="T99"/>
      <c r="U99"/>
    </row>
    <row r="100" spans="2:21" ht="15" customHeight="1" x14ac:dyDescent="0.25">
      <c r="B100" s="31"/>
      <c r="C100" s="31"/>
      <c r="D100" s="31"/>
      <c r="E100" s="31"/>
      <c r="F100" s="31"/>
      <c r="G100" s="31"/>
      <c r="H100" s="31"/>
      <c r="I100" s="31"/>
      <c r="J100" s="31"/>
      <c r="K100"/>
      <c r="L100"/>
      <c r="M100"/>
      <c r="N100"/>
      <c r="O100"/>
      <c r="P100"/>
      <c r="Q100"/>
      <c r="R100"/>
      <c r="S100"/>
      <c r="T100"/>
      <c r="U100"/>
    </row>
    <row r="101" spans="2:21" ht="15" customHeight="1" x14ac:dyDescent="0.25">
      <c r="B101" s="31"/>
      <c r="C101" s="31"/>
      <c r="D101" s="31"/>
      <c r="E101" s="31"/>
      <c r="F101" s="31"/>
      <c r="G101" s="31"/>
      <c r="H101" s="31"/>
      <c r="I101" s="31"/>
      <c r="J101" s="31"/>
      <c r="K101"/>
      <c r="L101"/>
      <c r="M101"/>
      <c r="N101"/>
      <c r="O101"/>
      <c r="P101"/>
      <c r="Q101"/>
      <c r="R101"/>
      <c r="S101"/>
      <c r="T101"/>
      <c r="U101"/>
    </row>
  </sheetData>
  <mergeCells count="1">
    <mergeCell ref="H1:I1"/>
  </mergeCells>
  <conditionalFormatting sqref="B1">
    <cfRule type="cellIs" dxfId="35" priority="1" operator="equal">
      <formula>"Incomplete"</formula>
    </cfRule>
    <cfRule type="cellIs" dxfId="34" priority="2" operator="equal">
      <formula>"Flag for Review"</formula>
    </cfRule>
    <cfRule type="cellIs" dxfId="33" priority="3" operator="equal">
      <formula>"Finished"</formula>
    </cfRule>
  </conditionalFormatting>
  <dataValidations count="1">
    <dataValidation type="list" allowBlank="1" showInputMessage="1" showErrorMessage="1" sqref="B1">
      <formula1>"Finished, Flag for Review, Incomplete"</formula1>
    </dataValidation>
  </dataValidations>
  <hyperlinks>
    <hyperlink ref="H1" location="'Point Grid'!A8" display="Return to Point Grid"/>
    <hyperlink ref="H1:I1" location="'Point Grid'!A1" display="Return to Point Grid"/>
  </hyperlink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Y153"/>
  <sheetViews>
    <sheetView zoomScaleNormal="100" workbookViewId="0"/>
  </sheetViews>
  <sheetFormatPr defaultColWidth="9.140625" defaultRowHeight="15" x14ac:dyDescent="0.25"/>
  <cols>
    <col min="1" max="1" width="9.140625" style="21"/>
    <col min="2" max="2" width="16" style="21" bestFit="1" customWidth="1"/>
    <col min="3" max="12" width="11.140625" style="21" customWidth="1"/>
    <col min="13" max="16384" width="9.140625" style="21"/>
  </cols>
  <sheetData>
    <row r="1" spans="1:51" x14ac:dyDescent="0.25">
      <c r="A1" s="7">
        <v>20</v>
      </c>
      <c r="B1" s="27" t="s">
        <v>12</v>
      </c>
      <c r="C1" s="20"/>
      <c r="D1" s="20"/>
      <c r="E1" s="20"/>
      <c r="F1" s="20"/>
      <c r="G1" s="20"/>
      <c r="H1" s="20"/>
      <c r="I1" s="20"/>
      <c r="J1" s="20"/>
      <c r="K1" s="384" t="s">
        <v>24</v>
      </c>
      <c r="L1" s="385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</row>
    <row r="2" spans="1:51" x14ac:dyDescent="0.25">
      <c r="A2" s="22"/>
      <c r="B2" s="19"/>
      <c r="C2" s="19"/>
      <c r="D2" s="19"/>
      <c r="E2" s="19"/>
      <c r="F2" s="19"/>
      <c r="G2" s="19"/>
      <c r="H2" s="19"/>
      <c r="I2" s="19"/>
      <c r="J2" s="19"/>
      <c r="K2" s="19"/>
      <c r="L2" s="23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</row>
    <row r="3" spans="1:51" x14ac:dyDescent="0.25">
      <c r="A3" s="8" t="s">
        <v>13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8"/>
      <c r="M3" s="31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</row>
    <row r="4" spans="1:51" x14ac:dyDescent="0.25">
      <c r="A4" s="9">
        <f>INDEX('Point Grid'!B:B,MATCH(A1,'Point Grid'!A:A,0))</f>
        <v>1.5</v>
      </c>
      <c r="B4" s="17" t="s">
        <v>268</v>
      </c>
      <c r="C4" s="17"/>
      <c r="D4" s="17"/>
      <c r="E4" s="17"/>
      <c r="F4" s="17"/>
      <c r="G4" s="17"/>
      <c r="H4" s="17"/>
      <c r="I4" s="17"/>
      <c r="J4" s="17"/>
      <c r="K4" s="17"/>
      <c r="L4" s="18"/>
      <c r="M4" s="31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</row>
    <row r="5" spans="1:51" x14ac:dyDescent="0.25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8"/>
      <c r="M5" s="31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</row>
    <row r="6" spans="1:51" x14ac:dyDescent="0.25">
      <c r="A6" s="25" t="s">
        <v>2</v>
      </c>
      <c r="B6" s="116" t="s">
        <v>269</v>
      </c>
      <c r="C6" s="116"/>
      <c r="D6" s="220"/>
      <c r="E6" s="221">
        <v>2023</v>
      </c>
      <c r="F6" s="166" t="s">
        <v>270</v>
      </c>
      <c r="G6" s="222">
        <v>36</v>
      </c>
      <c r="H6" s="166" t="s">
        <v>130</v>
      </c>
      <c r="I6" s="17"/>
      <c r="J6" s="17"/>
      <c r="K6" s="17"/>
      <c r="L6" s="18"/>
      <c r="M6" s="31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</row>
    <row r="7" spans="1:51" ht="15.75" thickBot="1" x14ac:dyDescent="0.3">
      <c r="A7" s="9">
        <f>INDEX('Point Grid'!$C$8:$I$54,MATCH($A$1,'Point Grid'!$A$8:$A$54,0),MATCH(A6,'Point Grid'!$C$7:$I$7,0))</f>
        <v>0.25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8"/>
      <c r="M7" s="31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</row>
    <row r="8" spans="1:51" ht="15.75" thickBot="1" x14ac:dyDescent="0.3">
      <c r="A8" s="5"/>
      <c r="B8" s="17"/>
      <c r="C8" s="28"/>
      <c r="D8" s="28"/>
      <c r="E8" s="28"/>
      <c r="F8" s="28"/>
      <c r="G8" s="28"/>
      <c r="H8" s="28"/>
      <c r="I8" s="28"/>
      <c r="J8" s="28"/>
      <c r="K8" s="28"/>
      <c r="L8" s="18"/>
      <c r="M8" s="31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</row>
    <row r="9" spans="1:51" x14ac:dyDescent="0.25">
      <c r="A9" s="25"/>
      <c r="B9" s="17"/>
      <c r="C9" s="17"/>
      <c r="D9" s="17"/>
      <c r="E9" s="17"/>
      <c r="F9" s="17"/>
      <c r="G9" s="17"/>
      <c r="H9" s="17"/>
      <c r="I9" s="17"/>
      <c r="J9" s="17"/>
      <c r="K9" s="17"/>
      <c r="L9" s="18"/>
      <c r="M9" s="31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</row>
    <row r="10" spans="1:51" x14ac:dyDescent="0.25">
      <c r="A10" s="25" t="s">
        <v>3</v>
      </c>
      <c r="B10" s="116" t="s">
        <v>271</v>
      </c>
      <c r="C10" s="116"/>
      <c r="D10" s="220"/>
      <c r="E10" s="221">
        <v>2023</v>
      </c>
      <c r="F10" s="166" t="s">
        <v>270</v>
      </c>
      <c r="G10" s="222">
        <v>12</v>
      </c>
      <c r="H10" s="166" t="s">
        <v>130</v>
      </c>
      <c r="I10" s="17"/>
      <c r="J10" s="17"/>
      <c r="K10" s="17"/>
      <c r="L10" s="18"/>
      <c r="M10" s="31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</row>
    <row r="11" spans="1:51" ht="15.75" thickBot="1" x14ac:dyDescent="0.3">
      <c r="A11" s="9">
        <f>INDEX('Point Grid'!$C$8:$I$54,MATCH($A$1,'Point Grid'!$A$8:$A$54,0),MATCH(A10,'Point Grid'!$C$7:$I$7,0))</f>
        <v>0.25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8"/>
      <c r="M11" s="3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</row>
    <row r="12" spans="1:51" ht="15.75" thickBot="1" x14ac:dyDescent="0.3">
      <c r="A12" s="5"/>
      <c r="B12" s="17"/>
      <c r="C12" s="28"/>
      <c r="D12" s="28"/>
      <c r="E12" s="28"/>
      <c r="F12" s="28"/>
      <c r="G12" s="28"/>
      <c r="H12" s="28"/>
      <c r="I12" s="28"/>
      <c r="J12" s="28"/>
      <c r="K12" s="28"/>
      <c r="L12" s="18"/>
      <c r="M12" s="31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</row>
    <row r="13" spans="1:51" x14ac:dyDescent="0.25">
      <c r="A13" s="25"/>
      <c r="B13" s="17"/>
      <c r="C13" s="28"/>
      <c r="D13" s="28"/>
      <c r="E13" s="28"/>
      <c r="F13" s="28"/>
      <c r="G13" s="28"/>
      <c r="H13" s="28"/>
      <c r="I13" s="28"/>
      <c r="J13" s="28"/>
      <c r="K13" s="28"/>
      <c r="L13" s="18"/>
      <c r="M13" s="31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</row>
    <row r="14" spans="1:51" x14ac:dyDescent="0.25">
      <c r="A14" s="25" t="s">
        <v>4</v>
      </c>
      <c r="B14" s="116" t="s">
        <v>283</v>
      </c>
      <c r="C14" s="116"/>
      <c r="D14" s="220"/>
      <c r="E14" s="221">
        <v>2022</v>
      </c>
      <c r="F14" s="166" t="s">
        <v>270</v>
      </c>
      <c r="G14" s="222">
        <v>36</v>
      </c>
      <c r="H14" s="166" t="s">
        <v>130</v>
      </c>
      <c r="I14" s="17"/>
      <c r="J14" s="17"/>
      <c r="K14" s="17"/>
      <c r="L14" s="18"/>
      <c r="M14" s="31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</row>
    <row r="15" spans="1:51" ht="15.75" thickBot="1" x14ac:dyDescent="0.3">
      <c r="A15" s="9">
        <f>INDEX('Point Grid'!$C$8:$I$54,MATCH($A$1,'Point Grid'!$A$8:$A$54,0),MATCH(A14,'Point Grid'!$C$7:$I$7,0))</f>
        <v>0.25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8"/>
      <c r="M15" s="31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</row>
    <row r="16" spans="1:51" ht="15.75" thickBot="1" x14ac:dyDescent="0.3">
      <c r="A16" s="5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8"/>
      <c r="M16" s="31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</row>
    <row r="17" spans="1:51" x14ac:dyDescent="0.25">
      <c r="A17" s="22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8"/>
      <c r="M17" s="31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</row>
    <row r="18" spans="1:51" ht="15" customHeight="1" x14ac:dyDescent="0.25">
      <c r="A18" s="25" t="s">
        <v>5</v>
      </c>
      <c r="B18" s="116" t="s">
        <v>272</v>
      </c>
      <c r="C18" s="116"/>
      <c r="D18" s="220"/>
      <c r="E18" s="221">
        <v>2022</v>
      </c>
      <c r="F18" s="166" t="s">
        <v>270</v>
      </c>
      <c r="G18" s="222">
        <v>48</v>
      </c>
      <c r="H18" s="166" t="s">
        <v>130</v>
      </c>
      <c r="I18" s="17"/>
      <c r="J18" s="17"/>
      <c r="K18" s="17"/>
      <c r="L18" s="18"/>
      <c r="M18" s="31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</row>
    <row r="19" spans="1:51" ht="15" customHeight="1" thickBot="1" x14ac:dyDescent="0.3">
      <c r="A19" s="9">
        <f>INDEX('Point Grid'!$C$8:$I$54,MATCH($A$1,'Point Grid'!$A$8:$A$54,0),MATCH(A18,'Point Grid'!$C$7:$I$7,0))</f>
        <v>0.25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8"/>
      <c r="M19" s="31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</row>
    <row r="20" spans="1:51" ht="15" customHeight="1" thickBot="1" x14ac:dyDescent="0.3">
      <c r="A20" s="5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8"/>
      <c r="M20" s="31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</row>
    <row r="21" spans="1:51" ht="15" customHeight="1" x14ac:dyDescent="0.25">
      <c r="A21" s="22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8"/>
      <c r="M21" s="3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</row>
    <row r="22" spans="1:51" ht="15" customHeight="1" x14ac:dyDescent="0.25">
      <c r="A22" s="25" t="s">
        <v>6</v>
      </c>
      <c r="B22" s="116" t="s">
        <v>284</v>
      </c>
      <c r="C22" s="116"/>
      <c r="D22" s="220"/>
      <c r="E22" s="221">
        <v>2022</v>
      </c>
      <c r="F22" s="166" t="s">
        <v>270</v>
      </c>
      <c r="G22" s="222">
        <v>48</v>
      </c>
      <c r="H22" s="166" t="s">
        <v>130</v>
      </c>
      <c r="I22" s="17"/>
      <c r="J22" s="17"/>
      <c r="K22" s="17"/>
      <c r="L22" s="18"/>
      <c r="M22" s="31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</row>
    <row r="23" spans="1:51" ht="15" customHeight="1" thickBot="1" x14ac:dyDescent="0.3">
      <c r="A23" s="9">
        <f>INDEX('Point Grid'!$C$8:$I$54,MATCH($A$1,'Point Grid'!$A$8:$A$54,0),MATCH(A22,'Point Grid'!$C$7:$I$7,0))</f>
        <v>0.25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8"/>
      <c r="M23" s="31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</row>
    <row r="24" spans="1:51" ht="15" customHeight="1" thickBot="1" x14ac:dyDescent="0.3">
      <c r="A24" s="5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8"/>
      <c r="M24" s="31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</row>
    <row r="25" spans="1:51" ht="15" customHeight="1" x14ac:dyDescent="0.25">
      <c r="A25" s="22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8"/>
      <c r="M25" s="31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</row>
    <row r="26" spans="1:51" ht="15" customHeight="1" x14ac:dyDescent="0.25">
      <c r="A26" s="25" t="s">
        <v>7</v>
      </c>
      <c r="B26" s="116" t="s">
        <v>285</v>
      </c>
      <c r="C26" s="116"/>
      <c r="D26" s="220"/>
      <c r="E26" s="221">
        <v>2023</v>
      </c>
      <c r="F26" s="166"/>
      <c r="G26" s="17"/>
      <c r="H26" s="17"/>
      <c r="I26" s="17"/>
      <c r="J26" s="17"/>
      <c r="K26" s="17"/>
      <c r="L26" s="18"/>
      <c r="M26" s="31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</row>
    <row r="27" spans="1:51" ht="15" customHeight="1" thickBot="1" x14ac:dyDescent="0.3">
      <c r="A27" s="9">
        <f>INDEX('Point Grid'!$C$8:$I$54,MATCH($A$1,'Point Grid'!$A$8:$A$54,0),MATCH(A26,'Point Grid'!$C$7:$I$7,0))</f>
        <v>0.25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8"/>
      <c r="M27" s="31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</row>
    <row r="28" spans="1:51" ht="15" customHeight="1" thickBot="1" x14ac:dyDescent="0.3">
      <c r="A28" s="5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8"/>
      <c r="M28" s="31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</row>
    <row r="29" spans="1:51" ht="15" customHeight="1" thickBot="1" x14ac:dyDescent="0.3">
      <c r="A29" s="22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8"/>
      <c r="M29" s="31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</row>
    <row r="30" spans="1:51" ht="15" customHeight="1" thickBot="1" x14ac:dyDescent="0.3">
      <c r="A30" s="22"/>
      <c r="B30" s="211" t="s">
        <v>281</v>
      </c>
      <c r="C30" s="212"/>
      <c r="D30" s="213"/>
      <c r="E30" s="17"/>
      <c r="F30" s="17"/>
      <c r="G30" s="17"/>
      <c r="H30" s="17"/>
      <c r="I30" s="17"/>
      <c r="J30" s="17"/>
      <c r="K30" s="17"/>
      <c r="L30" s="18"/>
      <c r="M30" s="31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</row>
    <row r="31" spans="1:51" ht="15" customHeight="1" x14ac:dyDescent="0.25">
      <c r="A31" s="22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8"/>
      <c r="M31" s="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</row>
    <row r="32" spans="1:51" ht="15" customHeight="1" x14ac:dyDescent="0.25">
      <c r="A32" s="22"/>
      <c r="B32" s="214" t="s">
        <v>273</v>
      </c>
      <c r="C32" s="215" t="s">
        <v>274</v>
      </c>
      <c r="D32" s="65"/>
      <c r="E32" s="65" t="s">
        <v>275</v>
      </c>
      <c r="F32" s="65"/>
      <c r="G32" s="65"/>
      <c r="H32" s="65"/>
      <c r="I32" s="116"/>
      <c r="J32" s="116"/>
      <c r="K32" s="116"/>
      <c r="L32" s="18"/>
      <c r="M32" s="31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</row>
    <row r="33" spans="1:51" ht="15" customHeight="1" x14ac:dyDescent="0.25">
      <c r="A33" s="22"/>
      <c r="B33" s="216" t="s">
        <v>73</v>
      </c>
      <c r="C33" s="217">
        <v>12</v>
      </c>
      <c r="D33" s="217">
        <f>C33+12</f>
        <v>24</v>
      </c>
      <c r="E33" s="217">
        <f>D33+12</f>
        <v>36</v>
      </c>
      <c r="F33" s="217">
        <f>E33+12</f>
        <v>48</v>
      </c>
      <c r="G33" s="217">
        <f>F33+12</f>
        <v>60</v>
      </c>
      <c r="H33" s="217">
        <f>G33+12</f>
        <v>72</v>
      </c>
      <c r="I33" s="116"/>
      <c r="J33" s="116"/>
      <c r="K33" s="116"/>
      <c r="L33" s="18"/>
      <c r="M33" s="31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</row>
    <row r="34" spans="1:51" ht="15" customHeight="1" x14ac:dyDescent="0.25">
      <c r="A34" s="22"/>
      <c r="B34" s="218">
        <v>2020</v>
      </c>
      <c r="C34" s="219">
        <v>35251.199999999997</v>
      </c>
      <c r="D34" s="219">
        <v>79682.399999999994</v>
      </c>
      <c r="E34" s="219">
        <v>133416</v>
      </c>
      <c r="F34" s="219">
        <v>151164</v>
      </c>
      <c r="G34" s="219">
        <v>171360</v>
      </c>
      <c r="H34" s="219">
        <v>213465.60000000001</v>
      </c>
      <c r="I34" s="116"/>
      <c r="J34" s="116"/>
      <c r="K34" s="116"/>
      <c r="L34" s="18"/>
      <c r="M34" s="31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</row>
    <row r="35" spans="1:51" ht="15" customHeight="1" x14ac:dyDescent="0.25">
      <c r="A35" s="22"/>
      <c r="B35" s="218">
        <f>B34+1</f>
        <v>2021</v>
      </c>
      <c r="C35" s="219">
        <v>18823.896755371094</v>
      </c>
      <c r="D35" s="219">
        <v>64539.074589843753</v>
      </c>
      <c r="E35" s="219">
        <v>99290.883984375003</v>
      </c>
      <c r="F35" s="219">
        <v>120390.19683105469</v>
      </c>
      <c r="G35" s="219">
        <v>127733.58512573242</v>
      </c>
      <c r="H35" s="219"/>
      <c r="I35" s="116"/>
      <c r="J35" s="116"/>
      <c r="K35" s="116"/>
      <c r="L35" s="18"/>
      <c r="M35" s="31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</row>
    <row r="36" spans="1:51" ht="15" customHeight="1" x14ac:dyDescent="0.25">
      <c r="A36" s="22"/>
      <c r="B36" s="218">
        <f>B35+1</f>
        <v>2022</v>
      </c>
      <c r="C36" s="219">
        <v>17258.400000000001</v>
      </c>
      <c r="D36" s="219">
        <v>48654</v>
      </c>
      <c r="E36" s="219">
        <v>77112</v>
      </c>
      <c r="F36" s="219">
        <v>85374</v>
      </c>
      <c r="G36" s="219"/>
      <c r="H36" s="219"/>
      <c r="I36" s="116"/>
      <c r="J36" s="116"/>
      <c r="K36" s="116"/>
      <c r="L36" s="18"/>
      <c r="M36" s="31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</row>
    <row r="37" spans="1:51" ht="15" customHeight="1" x14ac:dyDescent="0.25">
      <c r="A37" s="22"/>
      <c r="B37" s="218">
        <f>B36+1</f>
        <v>2023</v>
      </c>
      <c r="C37" s="219">
        <v>7488.2280975341801</v>
      </c>
      <c r="D37" s="219">
        <v>25093.530326843262</v>
      </c>
      <c r="E37" s="219">
        <v>41025.930534362793</v>
      </c>
      <c r="F37" s="219"/>
      <c r="G37" s="219"/>
      <c r="H37" s="219"/>
      <c r="I37" s="116"/>
      <c r="J37" s="116"/>
      <c r="K37" s="116"/>
      <c r="L37" s="18"/>
      <c r="M37" s="31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</row>
    <row r="38" spans="1:51" ht="15" customHeight="1" x14ac:dyDescent="0.25">
      <c r="A38" s="22"/>
      <c r="B38" s="218">
        <f>B37+1</f>
        <v>2024</v>
      </c>
      <c r="C38" s="219">
        <v>6104.7</v>
      </c>
      <c r="D38" s="219">
        <v>19535.04</v>
      </c>
      <c r="E38" s="219"/>
      <c r="F38" s="219"/>
      <c r="G38" s="219"/>
      <c r="H38" s="219"/>
      <c r="I38" s="116"/>
      <c r="J38" s="116"/>
      <c r="K38" s="116"/>
      <c r="L38" s="18"/>
      <c r="M38" s="31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</row>
    <row r="39" spans="1:51" ht="15" customHeight="1" x14ac:dyDescent="0.25">
      <c r="A39" s="22"/>
      <c r="B39" s="218">
        <f>B38+1</f>
        <v>2025</v>
      </c>
      <c r="C39" s="219">
        <v>17772.480456542969</v>
      </c>
      <c r="D39" s="219"/>
      <c r="E39" s="219"/>
      <c r="F39" s="219"/>
      <c r="G39" s="219"/>
      <c r="H39" s="219"/>
      <c r="I39" s="116"/>
      <c r="J39" s="116"/>
      <c r="K39" s="116"/>
      <c r="L39" s="18"/>
      <c r="M39" s="31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</row>
    <row r="40" spans="1:51" ht="15" customHeight="1" x14ac:dyDescent="0.25">
      <c r="A40" s="22"/>
      <c r="B40" s="116"/>
      <c r="C40" s="116"/>
      <c r="D40" s="116"/>
      <c r="E40" s="116"/>
      <c r="F40" s="116"/>
      <c r="G40" s="116"/>
      <c r="H40" s="116"/>
      <c r="I40" s="116"/>
      <c r="J40" s="116"/>
      <c r="K40" s="116"/>
      <c r="L40" s="18"/>
      <c r="M40" s="31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</row>
    <row r="41" spans="1:51" ht="15" customHeight="1" x14ac:dyDescent="0.25">
      <c r="A41" s="22"/>
      <c r="B41" s="214" t="s">
        <v>273</v>
      </c>
      <c r="C41" s="215" t="s">
        <v>276</v>
      </c>
      <c r="D41" s="65"/>
      <c r="E41" s="65" t="s">
        <v>275</v>
      </c>
      <c r="F41" s="65"/>
      <c r="G41" s="65"/>
      <c r="H41" s="65"/>
      <c r="I41" s="166" t="s">
        <v>277</v>
      </c>
      <c r="J41" s="136" t="s">
        <v>278</v>
      </c>
      <c r="K41" s="116"/>
      <c r="L41" s="18"/>
      <c r="M41" s="3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</row>
    <row r="42" spans="1:51" ht="15" customHeight="1" x14ac:dyDescent="0.25">
      <c r="A42" s="22"/>
      <c r="B42" s="216" t="s">
        <v>73</v>
      </c>
      <c r="C42" s="217">
        <v>12</v>
      </c>
      <c r="D42" s="217">
        <v>24</v>
      </c>
      <c r="E42" s="217">
        <v>36</v>
      </c>
      <c r="F42" s="217">
        <v>48</v>
      </c>
      <c r="G42" s="217">
        <v>60</v>
      </c>
      <c r="H42" s="217">
        <v>72</v>
      </c>
      <c r="I42" s="116"/>
      <c r="J42" s="116"/>
      <c r="K42" s="116"/>
      <c r="L42" s="18"/>
      <c r="M42" s="31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</row>
    <row r="43" spans="1:51" ht="15" customHeight="1" x14ac:dyDescent="0.25">
      <c r="A43" s="22"/>
      <c r="B43" s="218">
        <f t="shared" ref="B43:B48" si="0">B34</f>
        <v>2020</v>
      </c>
      <c r="C43" s="219">
        <v>64872</v>
      </c>
      <c r="D43" s="219">
        <v>51897.599999999999</v>
      </c>
      <c r="E43" s="219">
        <v>39657.599999999999</v>
      </c>
      <c r="F43" s="219">
        <v>25459.200000000001</v>
      </c>
      <c r="G43" s="219">
        <v>22766.400000000001</v>
      </c>
      <c r="H43" s="219">
        <v>0</v>
      </c>
      <c r="I43" s="116"/>
      <c r="J43" s="116"/>
      <c r="K43" s="116"/>
      <c r="L43" s="18"/>
      <c r="M43" s="31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</row>
    <row r="44" spans="1:51" ht="15" customHeight="1" x14ac:dyDescent="0.25">
      <c r="A44" s="22"/>
      <c r="B44" s="218">
        <f t="shared" si="0"/>
        <v>2021</v>
      </c>
      <c r="C44" s="219">
        <v>65780.210639648431</v>
      </c>
      <c r="D44" s="219">
        <v>47576.88190917969</v>
      </c>
      <c r="E44" s="219">
        <v>31648.96927001953</v>
      </c>
      <c r="F44" s="219">
        <v>21099.312846679688</v>
      </c>
      <c r="G44" s="219">
        <v>18617.040747070314</v>
      </c>
      <c r="H44" s="219"/>
      <c r="I44" s="116"/>
      <c r="J44" s="116"/>
      <c r="K44" s="116"/>
      <c r="L44" s="18"/>
      <c r="M44" s="31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</row>
    <row r="45" spans="1:51" ht="15" customHeight="1" x14ac:dyDescent="0.25">
      <c r="A45" s="22"/>
      <c r="B45" s="218">
        <f t="shared" si="0"/>
        <v>2022</v>
      </c>
      <c r="C45" s="219">
        <v>33782.400000000001</v>
      </c>
      <c r="D45" s="219">
        <v>25061.4</v>
      </c>
      <c r="E45" s="219">
        <v>19094.400000000001</v>
      </c>
      <c r="F45" s="219">
        <v>9730.7999999999993</v>
      </c>
      <c r="G45" s="219"/>
      <c r="H45" s="219"/>
      <c r="I45" s="116"/>
      <c r="J45" s="116"/>
      <c r="K45" s="116"/>
      <c r="L45" s="18"/>
      <c r="M45" s="31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</row>
    <row r="46" spans="1:51" ht="15" customHeight="1" x14ac:dyDescent="0.25">
      <c r="A46" s="22"/>
      <c r="B46" s="218">
        <f t="shared" si="0"/>
        <v>2023</v>
      </c>
      <c r="C46" s="219">
        <v>25332.516329956055</v>
      </c>
      <c r="D46" s="219">
        <v>24854.544323730468</v>
      </c>
      <c r="E46" s="219">
        <v>17525.640228271484</v>
      </c>
      <c r="F46" s="219"/>
      <c r="G46" s="219"/>
      <c r="H46" s="219"/>
      <c r="I46" s="116"/>
      <c r="J46" s="116"/>
      <c r="K46" s="116"/>
      <c r="L46" s="18"/>
      <c r="M46" s="31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</row>
    <row r="47" spans="1:51" ht="15" customHeight="1" x14ac:dyDescent="0.25">
      <c r="A47" s="22"/>
      <c r="B47" s="218">
        <f t="shared" si="0"/>
        <v>2024</v>
      </c>
      <c r="C47" s="219">
        <v>21773.43</v>
      </c>
      <c r="D47" s="219">
        <v>19535.04</v>
      </c>
      <c r="E47" s="219"/>
      <c r="F47" s="219"/>
      <c r="G47" s="219"/>
      <c r="H47" s="219"/>
      <c r="I47" s="116"/>
      <c r="J47" s="116"/>
      <c r="K47" s="116"/>
      <c r="L47" s="18"/>
      <c r="M47" s="31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</row>
    <row r="48" spans="1:51" ht="15" customHeight="1" x14ac:dyDescent="0.25">
      <c r="A48" s="22"/>
      <c r="B48" s="218">
        <f t="shared" si="0"/>
        <v>2025</v>
      </c>
      <c r="C48" s="219">
        <v>15995.232410888671</v>
      </c>
      <c r="D48" s="219"/>
      <c r="E48" s="219"/>
      <c r="F48" s="219"/>
      <c r="G48" s="219"/>
      <c r="H48" s="219"/>
      <c r="I48" s="116"/>
      <c r="J48" s="116"/>
      <c r="K48" s="116"/>
      <c r="L48" s="18"/>
      <c r="M48" s="31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</row>
    <row r="49" spans="1:51" ht="15" customHeight="1" x14ac:dyDescent="0.25">
      <c r="A49" s="22"/>
      <c r="B49" s="116"/>
      <c r="C49" s="116"/>
      <c r="D49" s="116"/>
      <c r="E49" s="116"/>
      <c r="F49" s="116"/>
      <c r="G49" s="116"/>
      <c r="H49" s="116"/>
      <c r="I49" s="116"/>
      <c r="J49" s="116"/>
      <c r="K49" s="116"/>
      <c r="L49" s="18"/>
      <c r="M49" s="31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</row>
    <row r="50" spans="1:51" ht="15" customHeight="1" x14ac:dyDescent="0.25">
      <c r="A50" s="22"/>
      <c r="B50" s="214" t="s">
        <v>273</v>
      </c>
      <c r="C50" s="215" t="s">
        <v>279</v>
      </c>
      <c r="D50" s="65"/>
      <c r="E50" s="65" t="s">
        <v>275</v>
      </c>
      <c r="F50" s="65"/>
      <c r="G50" s="65"/>
      <c r="H50" s="65"/>
      <c r="I50" s="116"/>
      <c r="J50" s="116"/>
      <c r="K50" s="116"/>
      <c r="L50" s="18"/>
      <c r="M50" s="31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</row>
    <row r="51" spans="1:51" ht="15" customHeight="1" x14ac:dyDescent="0.25">
      <c r="A51" s="22"/>
      <c r="B51" s="216" t="s">
        <v>73</v>
      </c>
      <c r="C51" s="217">
        <v>12</v>
      </c>
      <c r="D51" s="217">
        <v>24</v>
      </c>
      <c r="E51" s="217">
        <v>36</v>
      </c>
      <c r="F51" s="217">
        <v>48</v>
      </c>
      <c r="G51" s="217">
        <v>60</v>
      </c>
      <c r="H51" s="217">
        <v>72</v>
      </c>
      <c r="I51" s="116"/>
      <c r="J51" s="116"/>
      <c r="K51" s="116"/>
      <c r="L51" s="18"/>
      <c r="M51" s="3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</row>
    <row r="52" spans="1:51" ht="15" customHeight="1" x14ac:dyDescent="0.25">
      <c r="A52" s="22"/>
      <c r="B52" s="218">
        <f t="shared" ref="B52:B57" si="1">B43</f>
        <v>2020</v>
      </c>
      <c r="C52" s="219">
        <v>45.9</v>
      </c>
      <c r="D52" s="219">
        <v>107.1</v>
      </c>
      <c r="E52" s="219">
        <v>154.69999999999999</v>
      </c>
      <c r="F52" s="219">
        <v>198.9</v>
      </c>
      <c r="G52" s="219">
        <v>252.28</v>
      </c>
      <c r="H52" s="219">
        <v>280.16000000000003</v>
      </c>
      <c r="I52" s="116"/>
      <c r="J52" s="116"/>
      <c r="K52" s="116"/>
      <c r="L52" s="18"/>
      <c r="M52" s="31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</row>
    <row r="53" spans="1:51" ht="15" customHeight="1" x14ac:dyDescent="0.25">
      <c r="A53" s="22"/>
      <c r="B53" s="218">
        <f t="shared" si="1"/>
        <v>2021</v>
      </c>
      <c r="C53" s="219">
        <v>31.28</v>
      </c>
      <c r="D53" s="219">
        <v>107.1</v>
      </c>
      <c r="E53" s="219">
        <v>178.5</v>
      </c>
      <c r="F53" s="219">
        <v>210.12</v>
      </c>
      <c r="G53" s="219">
        <v>240.89</v>
      </c>
      <c r="H53" s="219"/>
      <c r="I53" s="116"/>
      <c r="J53" s="116"/>
      <c r="K53" s="116"/>
      <c r="L53" s="18"/>
      <c r="M53" s="31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</row>
    <row r="54" spans="1:51" ht="15" customHeight="1" x14ac:dyDescent="0.25">
      <c r="A54" s="22"/>
      <c r="B54" s="218">
        <f t="shared" si="1"/>
        <v>2022</v>
      </c>
      <c r="C54" s="219">
        <v>35.36</v>
      </c>
      <c r="D54" s="219">
        <v>87.55</v>
      </c>
      <c r="E54" s="219">
        <v>130.56</v>
      </c>
      <c r="F54" s="219">
        <v>170</v>
      </c>
      <c r="G54" s="219"/>
      <c r="H54" s="219"/>
      <c r="I54" s="116"/>
      <c r="J54" s="116"/>
      <c r="K54" s="116"/>
      <c r="L54" s="18"/>
      <c r="M54" s="31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</row>
    <row r="55" spans="1:51" ht="15" customHeight="1" x14ac:dyDescent="0.25">
      <c r="A55" s="22"/>
      <c r="B55" s="218">
        <f t="shared" si="1"/>
        <v>2023</v>
      </c>
      <c r="C55" s="219">
        <v>15.98</v>
      </c>
      <c r="D55" s="219">
        <v>55.59</v>
      </c>
      <c r="E55" s="219">
        <v>90.1</v>
      </c>
      <c r="F55" s="219"/>
      <c r="G55" s="219"/>
      <c r="H55" s="219"/>
      <c r="I55" s="116"/>
      <c r="J55" s="116"/>
      <c r="K55" s="116"/>
      <c r="L55" s="18"/>
      <c r="M55" s="31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</row>
    <row r="56" spans="1:51" ht="15" customHeight="1" x14ac:dyDescent="0.25">
      <c r="A56" s="22"/>
      <c r="B56" s="218">
        <f t="shared" si="1"/>
        <v>2024</v>
      </c>
      <c r="C56" s="219">
        <v>18.53</v>
      </c>
      <c r="D56" s="219">
        <v>55.08</v>
      </c>
      <c r="E56" s="219"/>
      <c r="F56" s="219"/>
      <c r="G56" s="219"/>
      <c r="H56" s="219"/>
      <c r="I56" s="116"/>
      <c r="J56" s="116"/>
      <c r="K56" s="116"/>
      <c r="L56" s="18"/>
      <c r="M56" s="31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</row>
    <row r="57" spans="1:51" ht="15" customHeight="1" x14ac:dyDescent="0.25">
      <c r="A57" s="22"/>
      <c r="B57" s="218">
        <f t="shared" si="1"/>
        <v>2025</v>
      </c>
      <c r="C57" s="219">
        <v>35.700000000000003</v>
      </c>
      <c r="D57" s="219"/>
      <c r="E57" s="219"/>
      <c r="F57" s="219"/>
      <c r="G57" s="219"/>
      <c r="H57" s="219"/>
      <c r="I57" s="116"/>
      <c r="J57" s="116"/>
      <c r="K57" s="116"/>
      <c r="L57" s="18"/>
      <c r="M57" s="31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</row>
    <row r="58" spans="1:51" ht="15" customHeight="1" x14ac:dyDescent="0.25">
      <c r="A58" s="22"/>
      <c r="B58" s="116"/>
      <c r="C58" s="116"/>
      <c r="D58" s="116"/>
      <c r="E58" s="116"/>
      <c r="F58" s="116"/>
      <c r="G58" s="116"/>
      <c r="H58" s="116"/>
      <c r="I58" s="116"/>
      <c r="J58" s="116"/>
      <c r="K58" s="116"/>
      <c r="L58" s="18"/>
      <c r="M58" s="31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</row>
    <row r="59" spans="1:51" ht="15" customHeight="1" x14ac:dyDescent="0.25">
      <c r="A59" s="22"/>
      <c r="B59" s="214" t="s">
        <v>273</v>
      </c>
      <c r="C59" s="215" t="s">
        <v>280</v>
      </c>
      <c r="D59" s="65"/>
      <c r="E59" s="65" t="s">
        <v>275</v>
      </c>
      <c r="F59" s="65"/>
      <c r="G59" s="65"/>
      <c r="H59" s="65"/>
      <c r="I59" s="116"/>
      <c r="J59" s="116"/>
      <c r="K59" s="116"/>
      <c r="L59" s="18"/>
      <c r="M59" s="31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</row>
    <row r="60" spans="1:51" ht="15" customHeight="1" x14ac:dyDescent="0.25">
      <c r="A60" s="22"/>
      <c r="B60" s="216" t="s">
        <v>73</v>
      </c>
      <c r="C60" s="217">
        <v>12</v>
      </c>
      <c r="D60" s="217">
        <v>24</v>
      </c>
      <c r="E60" s="217">
        <v>36</v>
      </c>
      <c r="F60" s="217">
        <v>48</v>
      </c>
      <c r="G60" s="217">
        <v>60</v>
      </c>
      <c r="H60" s="217">
        <v>72</v>
      </c>
      <c r="I60" s="116"/>
      <c r="J60" s="116"/>
      <c r="K60" s="116"/>
      <c r="L60" s="18"/>
      <c r="M60" s="31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</row>
    <row r="61" spans="1:51" ht="15" customHeight="1" x14ac:dyDescent="0.25">
      <c r="A61" s="22"/>
      <c r="B61" s="218">
        <f t="shared" ref="B61:B66" si="2">B52</f>
        <v>2020</v>
      </c>
      <c r="C61" s="219">
        <v>79.900000000000006</v>
      </c>
      <c r="D61" s="219">
        <v>70.72</v>
      </c>
      <c r="E61" s="219">
        <v>51.51</v>
      </c>
      <c r="F61" s="219">
        <v>37.4</v>
      </c>
      <c r="G61" s="219">
        <v>36.380000000000003</v>
      </c>
      <c r="H61" s="219">
        <v>0</v>
      </c>
      <c r="I61" s="116"/>
      <c r="J61" s="116"/>
      <c r="K61" s="116"/>
      <c r="L61" s="18"/>
      <c r="M61" s="3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</row>
    <row r="62" spans="1:51" ht="15" customHeight="1" x14ac:dyDescent="0.25">
      <c r="A62" s="22"/>
      <c r="B62" s="218">
        <f t="shared" si="2"/>
        <v>2021</v>
      </c>
      <c r="C62" s="219">
        <v>104.04</v>
      </c>
      <c r="D62" s="219">
        <v>83.3</v>
      </c>
      <c r="E62" s="219">
        <v>51</v>
      </c>
      <c r="F62" s="219">
        <v>31.28</v>
      </c>
      <c r="G62" s="219">
        <v>36.04</v>
      </c>
      <c r="H62" s="219"/>
      <c r="I62" s="116"/>
      <c r="J62" s="116"/>
      <c r="K62" s="116"/>
      <c r="L62" s="18"/>
      <c r="M62" s="31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</row>
    <row r="63" spans="1:51" ht="15" customHeight="1" x14ac:dyDescent="0.25">
      <c r="A63" s="22"/>
      <c r="B63" s="218">
        <f t="shared" si="2"/>
        <v>2022</v>
      </c>
      <c r="C63" s="219">
        <v>61.2</v>
      </c>
      <c r="D63" s="219">
        <v>56.1</v>
      </c>
      <c r="E63" s="219">
        <v>34.68</v>
      </c>
      <c r="F63" s="219">
        <v>16.489999999999998</v>
      </c>
      <c r="G63" s="219"/>
      <c r="H63" s="219"/>
      <c r="I63" s="116"/>
      <c r="J63" s="116"/>
      <c r="K63" s="116"/>
      <c r="L63" s="18"/>
      <c r="M63" s="31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</row>
    <row r="64" spans="1:51" ht="15" customHeight="1" x14ac:dyDescent="0.25">
      <c r="A64" s="22"/>
      <c r="B64" s="218">
        <f t="shared" si="2"/>
        <v>2023</v>
      </c>
      <c r="C64" s="219">
        <v>46.92</v>
      </c>
      <c r="D64" s="219">
        <v>53.55</v>
      </c>
      <c r="E64" s="219">
        <v>31.28</v>
      </c>
      <c r="F64" s="219"/>
      <c r="G64" s="219"/>
      <c r="H64" s="219"/>
      <c r="I64" s="116"/>
      <c r="J64" s="116"/>
      <c r="K64" s="116"/>
      <c r="L64" s="18"/>
      <c r="M64" s="31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</row>
    <row r="65" spans="1:51" ht="15" customHeight="1" x14ac:dyDescent="0.25">
      <c r="A65" s="22"/>
      <c r="B65" s="218">
        <f t="shared" si="2"/>
        <v>2024</v>
      </c>
      <c r="C65" s="219">
        <v>52.02</v>
      </c>
      <c r="D65" s="219">
        <v>45.9</v>
      </c>
      <c r="E65" s="219"/>
      <c r="F65" s="219"/>
      <c r="G65" s="219"/>
      <c r="H65" s="219"/>
      <c r="I65" s="116"/>
      <c r="J65" s="116"/>
      <c r="K65" s="116"/>
      <c r="L65" s="18"/>
      <c r="M65" s="31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</row>
    <row r="66" spans="1:51" ht="15" customHeight="1" x14ac:dyDescent="0.25">
      <c r="A66" s="22"/>
      <c r="B66" s="218">
        <f t="shared" si="2"/>
        <v>2025</v>
      </c>
      <c r="C66" s="219">
        <v>36.380000000000003</v>
      </c>
      <c r="D66" s="219"/>
      <c r="E66" s="219"/>
      <c r="F66" s="219"/>
      <c r="G66" s="219"/>
      <c r="H66" s="219"/>
      <c r="I66" s="116"/>
      <c r="J66" s="116"/>
      <c r="K66" s="116"/>
      <c r="L66" s="18"/>
      <c r="M66" s="31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</row>
    <row r="67" spans="1:51" ht="15" customHeight="1" x14ac:dyDescent="0.25">
      <c r="A67" s="22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8"/>
      <c r="M67" s="31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</row>
    <row r="68" spans="1:51" ht="15" customHeight="1" x14ac:dyDescent="0.25">
      <c r="A68" s="22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8"/>
      <c r="M68" s="31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</row>
    <row r="69" spans="1:51" ht="15" customHeight="1" x14ac:dyDescent="0.25">
      <c r="A69" s="22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8"/>
      <c r="M69" s="31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</row>
    <row r="70" spans="1:51" ht="15" customHeight="1" x14ac:dyDescent="0.25">
      <c r="A70" s="22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8"/>
      <c r="M70" s="31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</row>
    <row r="71" spans="1:51" ht="15" customHeight="1" x14ac:dyDescent="0.25">
      <c r="A71" s="22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8"/>
      <c r="M71" s="3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</row>
    <row r="72" spans="1:51" ht="15" customHeight="1" x14ac:dyDescent="0.25">
      <c r="A72" s="22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8"/>
      <c r="M72" s="31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</row>
    <row r="73" spans="1:51" ht="15" customHeight="1" x14ac:dyDescent="0.25">
      <c r="A73" s="22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8"/>
      <c r="M73" s="31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</row>
    <row r="74" spans="1:51" ht="15" customHeight="1" x14ac:dyDescent="0.25">
      <c r="A74" s="22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8"/>
      <c r="M74" s="31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</row>
    <row r="75" spans="1:51" ht="15" customHeight="1" x14ac:dyDescent="0.25">
      <c r="A75" s="22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8"/>
      <c r="M75" s="31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</row>
    <row r="76" spans="1:51" ht="15" customHeight="1" x14ac:dyDescent="0.25">
      <c r="A76" s="22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8"/>
      <c r="M76" s="31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</row>
    <row r="77" spans="1:51" ht="15" customHeight="1" x14ac:dyDescent="0.25">
      <c r="A77" s="22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8"/>
      <c r="M77" s="31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</row>
    <row r="78" spans="1:51" ht="15" customHeight="1" x14ac:dyDescent="0.25">
      <c r="A78" s="22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8"/>
      <c r="M78" s="31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</row>
    <row r="79" spans="1:51" ht="15" customHeight="1" x14ac:dyDescent="0.25">
      <c r="A79" s="22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8"/>
      <c r="M79" s="31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</row>
    <row r="80" spans="1:51" ht="15" customHeight="1" x14ac:dyDescent="0.25">
      <c r="A80" s="22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8"/>
      <c r="M80" s="31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</row>
    <row r="81" spans="1:51" ht="15" customHeight="1" x14ac:dyDescent="0.25">
      <c r="A81" s="22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8"/>
      <c r="M81" s="3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</row>
    <row r="82" spans="1:51" ht="15" customHeight="1" thickBot="1" x14ac:dyDescent="0.3">
      <c r="A82" s="24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3"/>
      <c r="M82" s="31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</row>
    <row r="83" spans="1:51" ht="15" customHeight="1" x14ac:dyDescent="0.25"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</row>
    <row r="84" spans="1:51" ht="15" customHeight="1" x14ac:dyDescent="0.25">
      <c r="M84" s="31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</row>
    <row r="85" spans="1:51" ht="15" customHeight="1" x14ac:dyDescent="0.25">
      <c r="M85" s="31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</row>
    <row r="86" spans="1:51" ht="15" customHeight="1" x14ac:dyDescent="0.25">
      <c r="M86" s="31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</row>
    <row r="87" spans="1:51" ht="15" customHeight="1" x14ac:dyDescent="0.25">
      <c r="M87" s="31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</row>
    <row r="88" spans="1:51" ht="15" customHeight="1" x14ac:dyDescent="0.25">
      <c r="M88" s="31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</row>
    <row r="89" spans="1:51" ht="15" customHeight="1" x14ac:dyDescent="0.25">
      <c r="M89" s="31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</row>
    <row r="90" spans="1:51" ht="15" customHeight="1" x14ac:dyDescent="0.25">
      <c r="M90" s="31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</row>
    <row r="91" spans="1:51" ht="15" customHeight="1" x14ac:dyDescent="0.25">
      <c r="M91" s="3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</row>
    <row r="92" spans="1:51" ht="15" customHeight="1" x14ac:dyDescent="0.25">
      <c r="M92" s="31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</row>
    <row r="93" spans="1:51" ht="15" customHeight="1" x14ac:dyDescent="0.25">
      <c r="M93" s="31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</row>
    <row r="94" spans="1:51" ht="15" customHeight="1" x14ac:dyDescent="0.25">
      <c r="M94" s="31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</row>
    <row r="95" spans="1:51" ht="15" customHeight="1" x14ac:dyDescent="0.25">
      <c r="M95" s="31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</row>
    <row r="96" spans="1:51" ht="15" customHeight="1" x14ac:dyDescent="0.25">
      <c r="M96" s="31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</row>
    <row r="97" spans="2:51" ht="15" customHeight="1" x14ac:dyDescent="0.25">
      <c r="M97" s="31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</row>
    <row r="98" spans="2:51" ht="15" customHeight="1" x14ac:dyDescent="0.25"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</row>
    <row r="99" spans="2:51" ht="15" customHeight="1" x14ac:dyDescent="0.25"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</row>
    <row r="100" spans="2:51" ht="15" customHeight="1" x14ac:dyDescent="0.25"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</row>
    <row r="101" spans="2:51" ht="15" customHeight="1" x14ac:dyDescent="0.25"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</row>
    <row r="102" spans="2:51" ht="15" customHeight="1" x14ac:dyDescent="0.25"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</row>
    <row r="103" spans="2:51" ht="15" customHeight="1" x14ac:dyDescent="0.25"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</row>
    <row r="104" spans="2:51" ht="15" customHeight="1" x14ac:dyDescent="0.25"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</row>
    <row r="105" spans="2:51" ht="15" customHeight="1" x14ac:dyDescent="0.25"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</row>
    <row r="106" spans="2:51" ht="15" customHeight="1" x14ac:dyDescent="0.25"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</row>
    <row r="107" spans="2:51" ht="15" customHeight="1" x14ac:dyDescent="0.25"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</row>
    <row r="108" spans="2:51" ht="15" customHeight="1" x14ac:dyDescent="0.25"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</row>
    <row r="109" spans="2:51" ht="15" customHeight="1" x14ac:dyDescent="0.25"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</row>
    <row r="110" spans="2:51" ht="15" customHeight="1" x14ac:dyDescent="0.25"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</row>
    <row r="111" spans="2:51" ht="15" customHeight="1" x14ac:dyDescent="0.25"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</row>
    <row r="112" spans="2:51" ht="15" customHeight="1" x14ac:dyDescent="0.25"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</row>
    <row r="113" spans="2:51" ht="15" customHeight="1" x14ac:dyDescent="0.25"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</row>
    <row r="114" spans="2:51" ht="15" customHeight="1" x14ac:dyDescent="0.25"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</row>
    <row r="115" spans="2:51" ht="15" customHeight="1" x14ac:dyDescent="0.25"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</row>
    <row r="116" spans="2:51" ht="15" customHeight="1" x14ac:dyDescent="0.25"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</row>
    <row r="117" spans="2:51" ht="15" customHeight="1" x14ac:dyDescent="0.25"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</row>
    <row r="118" spans="2:51" ht="15" customHeight="1" x14ac:dyDescent="0.25"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</row>
    <row r="119" spans="2:51" ht="15" customHeight="1" x14ac:dyDescent="0.25"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</row>
    <row r="120" spans="2:51" ht="15" customHeight="1" x14ac:dyDescent="0.25"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</row>
    <row r="121" spans="2:51" ht="15" customHeight="1" x14ac:dyDescent="0.25"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</row>
    <row r="122" spans="2:51" ht="15" customHeight="1" x14ac:dyDescent="0.25"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</row>
    <row r="123" spans="2:51" ht="15" customHeight="1" x14ac:dyDescent="0.25"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</row>
    <row r="124" spans="2:51" ht="15" customHeight="1" x14ac:dyDescent="0.25"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</row>
    <row r="125" spans="2:51" ht="15" customHeight="1" x14ac:dyDescent="0.25"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</row>
    <row r="126" spans="2:51" ht="15" customHeight="1" x14ac:dyDescent="0.25"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</row>
    <row r="127" spans="2:51" ht="15" customHeight="1" x14ac:dyDescent="0.25"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</row>
    <row r="128" spans="2:51" ht="15" customHeight="1" x14ac:dyDescent="0.25"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</row>
    <row r="129" spans="2:51" ht="15" customHeight="1" x14ac:dyDescent="0.25"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</row>
    <row r="130" spans="2:51" ht="15" customHeight="1" x14ac:dyDescent="0.25"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</row>
    <row r="131" spans="2:51" ht="15" customHeight="1" x14ac:dyDescent="0.25"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</row>
    <row r="132" spans="2:51" ht="15" customHeight="1" x14ac:dyDescent="0.25"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</row>
    <row r="133" spans="2:51" ht="15" customHeight="1" x14ac:dyDescent="0.25"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</row>
    <row r="134" spans="2:51" ht="15" customHeight="1" x14ac:dyDescent="0.25"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</row>
    <row r="135" spans="2:51" ht="15" customHeight="1" x14ac:dyDescent="0.25"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</row>
    <row r="136" spans="2:51" ht="15" customHeight="1" x14ac:dyDescent="0.25"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</row>
    <row r="137" spans="2:51" ht="15" customHeight="1" x14ac:dyDescent="0.25"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</row>
    <row r="138" spans="2:51" ht="15" customHeight="1" x14ac:dyDescent="0.25"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</row>
    <row r="139" spans="2:51" ht="15" customHeight="1" x14ac:dyDescent="0.25"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</row>
    <row r="140" spans="2:51" ht="15" customHeight="1" x14ac:dyDescent="0.25"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</row>
    <row r="141" spans="2:51" ht="15" customHeight="1" x14ac:dyDescent="0.25"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</row>
    <row r="142" spans="2:51" ht="15" customHeight="1" x14ac:dyDescent="0.25"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</row>
    <row r="143" spans="2:51" ht="15" customHeight="1" x14ac:dyDescent="0.25"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</row>
    <row r="144" spans="2:51" ht="15" customHeight="1" x14ac:dyDescent="0.25"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</row>
    <row r="145" spans="2:51" ht="15" customHeight="1" x14ac:dyDescent="0.25"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</row>
    <row r="146" spans="2:51" ht="15" customHeight="1" x14ac:dyDescent="0.2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</row>
    <row r="147" spans="2:51" ht="15" customHeight="1" x14ac:dyDescent="0.2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</row>
    <row r="148" spans="2:51" ht="15" customHeight="1" x14ac:dyDescent="0.2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</row>
    <row r="149" spans="2:51" ht="15" customHeight="1" x14ac:dyDescent="0.2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</row>
    <row r="150" spans="2:51" ht="15" customHeight="1" x14ac:dyDescent="0.2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</row>
    <row r="151" spans="2:51" ht="15" customHeight="1" x14ac:dyDescent="0.25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</row>
    <row r="152" spans="2:51" ht="15" customHeight="1" x14ac:dyDescent="0.25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</row>
    <row r="153" spans="2:51" ht="15" customHeight="1" x14ac:dyDescent="0.25"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</row>
  </sheetData>
  <mergeCells count="1">
    <mergeCell ref="K1:L1"/>
  </mergeCells>
  <conditionalFormatting sqref="B1">
    <cfRule type="cellIs" dxfId="32" priority="1" operator="equal">
      <formula>"Incomplete"</formula>
    </cfRule>
    <cfRule type="cellIs" dxfId="31" priority="2" operator="equal">
      <formula>"Flag for Review"</formula>
    </cfRule>
    <cfRule type="cellIs" dxfId="30" priority="3" operator="equal">
      <formula>"Finished"</formula>
    </cfRule>
  </conditionalFormatting>
  <dataValidations count="1">
    <dataValidation type="list" allowBlank="1" showInputMessage="1" showErrorMessage="1" sqref="B1">
      <formula1>"Finished, Flag for Review, Incomplete"</formula1>
    </dataValidation>
  </dataValidations>
  <hyperlinks>
    <hyperlink ref="K1" location="'Point Grid'!A8" display="Return to Point Grid"/>
    <hyperlink ref="K1:L1" location="'Point Grid'!A1" display="Return to Point Grid"/>
  </hyperlink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H106"/>
  <sheetViews>
    <sheetView zoomScaleNormal="100" workbookViewId="0"/>
  </sheetViews>
  <sheetFormatPr defaultColWidth="9.140625" defaultRowHeight="15" x14ac:dyDescent="0.25"/>
  <cols>
    <col min="1" max="1" width="9.140625" style="21"/>
    <col min="2" max="2" width="16" style="21" bestFit="1" customWidth="1"/>
    <col min="3" max="12" width="11.140625" style="21" customWidth="1"/>
    <col min="13" max="14" width="9.140625" style="21"/>
    <col min="15" max="15" width="11.85546875" style="21" customWidth="1"/>
    <col min="16" max="16" width="12.7109375" style="21" customWidth="1"/>
    <col min="17" max="16384" width="9.140625" style="21"/>
  </cols>
  <sheetData>
    <row r="1" spans="1:34" x14ac:dyDescent="0.25">
      <c r="A1" s="7">
        <v>21</v>
      </c>
      <c r="B1" s="27" t="s">
        <v>12</v>
      </c>
      <c r="C1" s="20"/>
      <c r="D1" s="20"/>
      <c r="E1" s="20"/>
      <c r="F1" s="20"/>
      <c r="G1" s="20"/>
      <c r="H1" s="20"/>
      <c r="I1" s="20"/>
      <c r="J1" s="20"/>
      <c r="K1" s="384" t="s">
        <v>24</v>
      </c>
      <c r="L1" s="385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</row>
    <row r="2" spans="1:34" x14ac:dyDescent="0.25">
      <c r="A2" s="22"/>
      <c r="B2" s="19"/>
      <c r="C2" s="19"/>
      <c r="D2" s="19"/>
      <c r="E2" s="19"/>
      <c r="F2" s="19"/>
      <c r="G2" s="19"/>
      <c r="H2" s="19"/>
      <c r="I2" s="19"/>
      <c r="J2" s="19"/>
      <c r="K2" s="19"/>
      <c r="L2" s="23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</row>
    <row r="3" spans="1:34" x14ac:dyDescent="0.25">
      <c r="A3" s="8" t="s">
        <v>13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8"/>
      <c r="M3" s="31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</row>
    <row r="4" spans="1:34" x14ac:dyDescent="0.25">
      <c r="A4" s="9">
        <f>INDEX('Point Grid'!B:B,MATCH(A1,'Point Grid'!A:A,0))</f>
        <v>2.25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8"/>
      <c r="M4" s="31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</row>
    <row r="5" spans="1:34" x14ac:dyDescent="0.25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8"/>
      <c r="M5" s="31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</row>
    <row r="6" spans="1:34" x14ac:dyDescent="0.25">
      <c r="A6" s="25" t="s">
        <v>2</v>
      </c>
      <c r="B6" s="96" t="s">
        <v>291</v>
      </c>
      <c r="C6" s="96"/>
      <c r="D6" s="96"/>
      <c r="E6" s="96"/>
      <c r="F6" s="223"/>
      <c r="G6" s="223"/>
      <c r="H6" s="223"/>
      <c r="I6" s="232">
        <f>B14</f>
        <v>2023</v>
      </c>
      <c r="J6" s="96"/>
      <c r="K6" s="17"/>
      <c r="L6" s="18"/>
      <c r="M6" s="31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</row>
    <row r="7" spans="1:34" ht="15.75" thickBot="1" x14ac:dyDescent="0.3">
      <c r="A7" s="9">
        <f>INDEX('Point Grid'!$C$8:$I$54,MATCH($A$1,'Point Grid'!$A$8:$A$54,0),MATCH(A6,'Point Grid'!$C$7:$I$7,0))</f>
        <v>1</v>
      </c>
      <c r="B7" s="96"/>
      <c r="C7" s="96"/>
      <c r="D7" s="96"/>
      <c r="E7" s="96"/>
      <c r="F7" s="96"/>
      <c r="G7" s="96"/>
      <c r="H7" s="96"/>
      <c r="I7" s="96"/>
      <c r="J7" s="96"/>
      <c r="K7" s="17"/>
      <c r="L7" s="18"/>
      <c r="M7" s="31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</row>
    <row r="8" spans="1:34" ht="15.75" thickBot="1" x14ac:dyDescent="0.3">
      <c r="A8" s="5"/>
      <c r="B8" s="96"/>
      <c r="C8" s="96"/>
      <c r="D8" s="96"/>
      <c r="E8" s="96"/>
      <c r="F8" s="96"/>
      <c r="G8" s="96"/>
      <c r="H8" s="96"/>
      <c r="I8" s="96"/>
      <c r="J8" s="96"/>
      <c r="K8" s="28"/>
      <c r="L8" s="18"/>
      <c r="M8" s="31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</row>
    <row r="9" spans="1:34" x14ac:dyDescent="0.25">
      <c r="A9" s="25"/>
      <c r="B9" s="114" t="s">
        <v>286</v>
      </c>
      <c r="C9" s="96"/>
      <c r="D9" s="96"/>
      <c r="E9" s="96"/>
      <c r="F9" s="96"/>
      <c r="G9" s="96"/>
      <c r="H9" s="96"/>
      <c r="I9" s="96"/>
      <c r="J9" s="96"/>
      <c r="K9" s="17"/>
      <c r="L9" s="18"/>
      <c r="M9" s="31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</row>
    <row r="10" spans="1:34" x14ac:dyDescent="0.25">
      <c r="A10" s="25"/>
      <c r="B10" s="162" t="s">
        <v>73</v>
      </c>
      <c r="C10" s="224">
        <v>12</v>
      </c>
      <c r="D10" s="224">
        <v>24</v>
      </c>
      <c r="E10" s="224">
        <v>36</v>
      </c>
      <c r="F10" s="225">
        <v>48</v>
      </c>
      <c r="G10" s="96"/>
      <c r="H10" s="96"/>
      <c r="I10" s="96"/>
      <c r="J10" s="96"/>
      <c r="K10" s="89"/>
      <c r="L10" s="18"/>
      <c r="M10" s="31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</row>
    <row r="11" spans="1:34" x14ac:dyDescent="0.25">
      <c r="A11" s="25"/>
      <c r="B11" s="226">
        <v>2020</v>
      </c>
      <c r="C11" s="98">
        <v>1500</v>
      </c>
      <c r="D11" s="98">
        <f>ROUND(C11*1.5,0)</f>
        <v>2250</v>
      </c>
      <c r="E11" s="98">
        <f>ROUND(D11*1.2,0)</f>
        <v>2700</v>
      </c>
      <c r="F11" s="227">
        <f>ROUND(E11*1.1,0)</f>
        <v>2970</v>
      </c>
      <c r="G11" s="96"/>
      <c r="H11" s="114"/>
      <c r="I11" s="96"/>
      <c r="J11" s="96"/>
      <c r="K11" s="89"/>
      <c r="L11" s="18"/>
      <c r="M11" s="3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</row>
    <row r="12" spans="1:34" x14ac:dyDescent="0.25">
      <c r="A12" s="25"/>
      <c r="B12" s="226">
        <f>B11+1</f>
        <v>2021</v>
      </c>
      <c r="C12" s="98">
        <f>ROUND(C11*1.03,0)</f>
        <v>1545</v>
      </c>
      <c r="D12" s="98">
        <f>ROUND(C12*1.5,0)</f>
        <v>2318</v>
      </c>
      <c r="E12" s="228">
        <f>ROUND(D12*1.2,0)</f>
        <v>2782</v>
      </c>
      <c r="F12" s="99"/>
      <c r="G12" s="96"/>
      <c r="H12" s="114"/>
      <c r="I12" s="114"/>
      <c r="J12" s="114"/>
      <c r="K12" s="89"/>
      <c r="L12" s="18"/>
      <c r="M12" s="31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</row>
    <row r="13" spans="1:34" x14ac:dyDescent="0.25">
      <c r="A13" s="25"/>
      <c r="B13" s="226">
        <f>B12+1</f>
        <v>2022</v>
      </c>
      <c r="C13" s="98">
        <f>ROUND(C12*1.03,0)</f>
        <v>1591</v>
      </c>
      <c r="D13" s="228">
        <f>ROUND(C13*1.5,0)</f>
        <v>2387</v>
      </c>
      <c r="E13" s="98"/>
      <c r="F13" s="99"/>
      <c r="G13" s="96"/>
      <c r="H13" s="114"/>
      <c r="I13" s="114"/>
      <c r="J13" s="114"/>
      <c r="K13" s="89"/>
      <c r="L13" s="18"/>
      <c r="M13" s="31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</row>
    <row r="14" spans="1:34" x14ac:dyDescent="0.25">
      <c r="A14" s="25"/>
      <c r="B14" s="229">
        <f>B13+1</f>
        <v>2023</v>
      </c>
      <c r="C14" s="230">
        <f>ROUND(C13*1.03,0)</f>
        <v>1639</v>
      </c>
      <c r="D14" s="105"/>
      <c r="E14" s="105"/>
      <c r="F14" s="106"/>
      <c r="G14" s="96"/>
      <c r="H14" s="114"/>
      <c r="I14" s="114"/>
      <c r="J14" s="114"/>
      <c r="K14" s="89"/>
      <c r="L14" s="18"/>
      <c r="M14" s="31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</row>
    <row r="15" spans="1:34" x14ac:dyDescent="0.25">
      <c r="A15" s="25"/>
      <c r="B15" s="115"/>
      <c r="C15" s="115"/>
      <c r="D15" s="115"/>
      <c r="E15" s="115"/>
      <c r="F15" s="115"/>
      <c r="G15" s="96"/>
      <c r="H15" s="114"/>
      <c r="I15" s="114"/>
      <c r="J15" s="114"/>
      <c r="K15" s="89"/>
      <c r="L15" s="18"/>
      <c r="M15" s="31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</row>
    <row r="16" spans="1:34" x14ac:dyDescent="0.25">
      <c r="A16" s="25"/>
      <c r="B16" s="231" t="s">
        <v>287</v>
      </c>
      <c r="C16" s="115"/>
      <c r="D16" s="115"/>
      <c r="E16" s="115"/>
      <c r="F16" s="115"/>
      <c r="G16" s="96"/>
      <c r="H16" s="114"/>
      <c r="I16" s="114"/>
      <c r="J16" s="114"/>
      <c r="K16" s="89"/>
      <c r="L16" s="18"/>
      <c r="M16" s="31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</row>
    <row r="17" spans="1:34" x14ac:dyDescent="0.25">
      <c r="A17" s="25"/>
      <c r="B17" s="96"/>
      <c r="C17" s="96"/>
      <c r="D17" s="96"/>
      <c r="E17" s="96"/>
      <c r="F17" s="96"/>
      <c r="G17" s="96"/>
      <c r="H17" s="96"/>
      <c r="I17" s="116"/>
      <c r="J17" s="116"/>
      <c r="K17" s="89"/>
      <c r="L17" s="18"/>
      <c r="M17" s="31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</row>
    <row r="18" spans="1:34" ht="15" customHeight="1" x14ac:dyDescent="0.25">
      <c r="A18" s="25"/>
      <c r="B18" s="136" t="s">
        <v>288</v>
      </c>
      <c r="C18" s="96"/>
      <c r="D18" s="96"/>
      <c r="E18" s="96"/>
      <c r="F18" s="96"/>
      <c r="G18" s="96"/>
      <c r="H18" s="96"/>
      <c r="I18" s="116"/>
      <c r="J18" s="116"/>
      <c r="K18" s="89"/>
      <c r="L18" s="18"/>
      <c r="M18" s="31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</row>
    <row r="19" spans="1:34" ht="15" customHeight="1" x14ac:dyDescent="0.25">
      <c r="A19" s="25"/>
      <c r="B19" s="89"/>
      <c r="C19" s="89"/>
      <c r="D19" s="89"/>
      <c r="E19" s="89"/>
      <c r="F19" s="89"/>
      <c r="G19" s="89"/>
      <c r="H19" s="89"/>
      <c r="I19" s="89"/>
      <c r="J19" s="89"/>
      <c r="K19" s="89"/>
      <c r="L19" s="18"/>
      <c r="M19" s="31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</row>
    <row r="20" spans="1:34" ht="15" customHeight="1" x14ac:dyDescent="0.25">
      <c r="A20" s="25" t="s">
        <v>3</v>
      </c>
      <c r="B20" s="17" t="s">
        <v>292</v>
      </c>
      <c r="C20" s="17"/>
      <c r="D20" s="17"/>
      <c r="E20" s="17"/>
      <c r="F20" s="17"/>
      <c r="G20" s="17"/>
      <c r="H20" s="17"/>
      <c r="I20" s="17"/>
      <c r="J20" s="17"/>
      <c r="K20" s="17"/>
      <c r="L20" s="18"/>
      <c r="M20" s="31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</row>
    <row r="21" spans="1:34" ht="15" customHeight="1" thickBot="1" x14ac:dyDescent="0.3">
      <c r="A21" s="9">
        <f>INDEX('Point Grid'!$C$8:$I$54,MATCH($A$1,'Point Grid'!$A$8:$A$54,0),MATCH(A20,'Point Grid'!$C$7:$I$7,0))</f>
        <v>0.25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8"/>
      <c r="M21" s="3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</row>
    <row r="22" spans="1:34" ht="15" customHeight="1" thickBot="1" x14ac:dyDescent="0.3">
      <c r="A22" s="5"/>
      <c r="B22" s="17"/>
      <c r="C22" s="28"/>
      <c r="D22" s="28"/>
      <c r="E22" s="28"/>
      <c r="F22" s="28"/>
      <c r="G22" s="28"/>
      <c r="H22" s="28"/>
      <c r="I22" s="28"/>
      <c r="J22" s="28"/>
      <c r="K22" s="28"/>
      <c r="L22" s="18"/>
      <c r="M22" s="31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</row>
    <row r="23" spans="1:34" ht="15" customHeight="1" x14ac:dyDescent="0.25">
      <c r="A23" s="25"/>
      <c r="B23" s="17"/>
      <c r="C23" s="28"/>
      <c r="D23" s="28"/>
      <c r="E23" s="28"/>
      <c r="F23" s="28"/>
      <c r="G23" s="28"/>
      <c r="H23" s="28"/>
      <c r="I23" s="28"/>
      <c r="J23" s="28"/>
      <c r="K23" s="28"/>
      <c r="L23" s="18"/>
      <c r="M23" s="31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</row>
    <row r="24" spans="1:34" ht="15" customHeight="1" x14ac:dyDescent="0.25">
      <c r="A24" s="25" t="s">
        <v>4</v>
      </c>
      <c r="B24" s="17" t="s">
        <v>297</v>
      </c>
      <c r="C24" s="17"/>
      <c r="D24" s="17"/>
      <c r="E24" s="17"/>
      <c r="F24" s="17"/>
      <c r="G24" s="17"/>
      <c r="H24" s="17"/>
      <c r="I24" s="17"/>
      <c r="J24" s="17"/>
      <c r="K24" s="17"/>
      <c r="L24" s="18"/>
      <c r="M24" s="31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</row>
    <row r="25" spans="1:34" ht="15" customHeight="1" thickBot="1" x14ac:dyDescent="0.3">
      <c r="A25" s="9">
        <f>INDEX('Point Grid'!$C$8:$I$54,MATCH($A$1,'Point Grid'!$A$8:$A$54,0),MATCH(A24,'Point Grid'!$C$7:$I$7,0))</f>
        <v>1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8"/>
      <c r="M25" s="31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</row>
    <row r="26" spans="1:34" ht="15" customHeight="1" thickBot="1" x14ac:dyDescent="0.3">
      <c r="A26" s="5"/>
      <c r="B26" s="17"/>
      <c r="C26" s="233" t="s">
        <v>293</v>
      </c>
      <c r="D26" s="240">
        <v>12</v>
      </c>
      <c r="E26" s="240">
        <v>24</v>
      </c>
      <c r="F26" s="240">
        <v>36</v>
      </c>
      <c r="G26" s="240">
        <v>48</v>
      </c>
      <c r="H26" s="17"/>
      <c r="I26" s="17"/>
      <c r="J26" s="17"/>
      <c r="K26" s="17"/>
      <c r="L26" s="18"/>
      <c r="M26" s="31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</row>
    <row r="27" spans="1:34" ht="15" customHeight="1" thickBot="1" x14ac:dyDescent="0.3">
      <c r="A27" s="22"/>
      <c r="B27" s="17"/>
      <c r="C27" s="233">
        <v>2020</v>
      </c>
      <c r="D27" s="234">
        <v>48.1</v>
      </c>
      <c r="E27" s="234">
        <v>141.19999999999999</v>
      </c>
      <c r="F27" s="234">
        <v>200.7</v>
      </c>
      <c r="G27" s="235">
        <v>240</v>
      </c>
      <c r="H27" s="17"/>
      <c r="I27" s="17"/>
      <c r="J27" s="17"/>
      <c r="K27" s="17"/>
      <c r="L27" s="18"/>
      <c r="M27" s="31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</row>
    <row r="28" spans="1:34" ht="15" customHeight="1" thickBot="1" x14ac:dyDescent="0.3">
      <c r="A28" s="22"/>
      <c r="B28" s="17"/>
      <c r="C28" s="233">
        <v>2021</v>
      </c>
      <c r="D28" s="234">
        <v>47.4</v>
      </c>
      <c r="E28" s="234">
        <v>140.5</v>
      </c>
      <c r="F28" s="235">
        <v>201</v>
      </c>
      <c r="G28" s="238"/>
      <c r="H28" s="17"/>
      <c r="I28" s="17"/>
      <c r="J28" s="17"/>
      <c r="K28" s="17"/>
      <c r="L28" s="18"/>
      <c r="M28" s="31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</row>
    <row r="29" spans="1:34" ht="15" customHeight="1" thickBot="1" x14ac:dyDescent="0.3">
      <c r="A29" s="22"/>
      <c r="B29" s="17"/>
      <c r="C29" s="233">
        <v>2022</v>
      </c>
      <c r="D29" s="234">
        <v>48.2</v>
      </c>
      <c r="E29" s="235">
        <v>139.6</v>
      </c>
      <c r="F29" s="236"/>
      <c r="G29" s="238"/>
      <c r="H29" s="17"/>
      <c r="I29" s="17"/>
      <c r="J29" s="17"/>
      <c r="K29" s="17"/>
      <c r="L29" s="18"/>
      <c r="M29" s="31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</row>
    <row r="30" spans="1:34" ht="15" customHeight="1" thickBot="1" x14ac:dyDescent="0.3">
      <c r="A30" s="22"/>
      <c r="B30" s="17"/>
      <c r="C30" s="233">
        <v>2023</v>
      </c>
      <c r="D30" s="235">
        <v>48</v>
      </c>
      <c r="E30" s="237"/>
      <c r="F30" s="237"/>
      <c r="G30" s="239"/>
      <c r="H30" s="17"/>
      <c r="I30" s="17"/>
      <c r="J30" s="17"/>
      <c r="K30" s="17"/>
      <c r="L30" s="18"/>
      <c r="M30" s="31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</row>
    <row r="31" spans="1:34" ht="15" customHeight="1" thickBot="1" x14ac:dyDescent="0.3">
      <c r="A31" s="22"/>
      <c r="B31" s="17"/>
      <c r="C31" s="65"/>
      <c r="D31" s="241"/>
      <c r="E31" s="241"/>
      <c r="F31" s="241"/>
      <c r="G31" s="241"/>
      <c r="H31" s="17"/>
      <c r="I31" s="17"/>
      <c r="J31" s="17"/>
      <c r="K31" s="17"/>
      <c r="L31" s="18"/>
      <c r="M31" s="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</row>
    <row r="32" spans="1:34" ht="15" customHeight="1" thickBot="1" x14ac:dyDescent="0.3">
      <c r="A32" s="22"/>
      <c r="B32" s="17"/>
      <c r="C32" s="233" t="s">
        <v>294</v>
      </c>
      <c r="D32" s="240">
        <v>12</v>
      </c>
      <c r="E32" s="240">
        <v>24</v>
      </c>
      <c r="F32" s="240">
        <v>36</v>
      </c>
      <c r="G32" s="240">
        <v>48</v>
      </c>
      <c r="H32" s="17"/>
      <c r="I32" s="17"/>
      <c r="J32" s="17"/>
      <c r="K32" s="17"/>
      <c r="L32" s="18"/>
      <c r="M32" s="31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</row>
    <row r="33" spans="1:34" ht="15" customHeight="1" thickBot="1" x14ac:dyDescent="0.3">
      <c r="A33" s="22"/>
      <c r="B33" s="17"/>
      <c r="C33" s="233">
        <v>2020</v>
      </c>
      <c r="D33" s="234">
        <v>48</v>
      </c>
      <c r="E33" s="234">
        <v>140.4</v>
      </c>
      <c r="F33" s="234">
        <v>200.7</v>
      </c>
      <c r="G33" s="235">
        <v>240</v>
      </c>
      <c r="H33" s="17"/>
      <c r="I33" s="17"/>
      <c r="J33" s="17"/>
      <c r="K33" s="17"/>
      <c r="L33" s="18"/>
      <c r="M33" s="31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</row>
    <row r="34" spans="1:34" ht="15" customHeight="1" thickBot="1" x14ac:dyDescent="0.3">
      <c r="A34" s="22"/>
      <c r="B34" s="17"/>
      <c r="C34" s="233">
        <v>2021</v>
      </c>
      <c r="D34" s="234">
        <v>43.6</v>
      </c>
      <c r="E34" s="234">
        <v>136</v>
      </c>
      <c r="F34" s="235">
        <v>198.6</v>
      </c>
      <c r="G34" s="238"/>
      <c r="H34" s="17"/>
      <c r="I34" s="17"/>
      <c r="J34" s="17"/>
      <c r="K34" s="17"/>
      <c r="L34" s="18"/>
      <c r="M34" s="31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</row>
    <row r="35" spans="1:34" ht="15" customHeight="1" thickBot="1" x14ac:dyDescent="0.3">
      <c r="A35" s="22"/>
      <c r="B35" s="17"/>
      <c r="C35" s="233">
        <v>2022</v>
      </c>
      <c r="D35" s="234">
        <v>40</v>
      </c>
      <c r="E35" s="235">
        <v>132.1</v>
      </c>
      <c r="F35" s="236"/>
      <c r="G35" s="238"/>
      <c r="H35" s="17"/>
      <c r="I35" s="17"/>
      <c r="J35" s="17"/>
      <c r="K35" s="17"/>
      <c r="L35" s="18"/>
      <c r="M35" s="31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</row>
    <row r="36" spans="1:34" ht="15" customHeight="1" thickBot="1" x14ac:dyDescent="0.3">
      <c r="A36" s="22"/>
      <c r="B36" s="17"/>
      <c r="C36" s="233">
        <v>2023</v>
      </c>
      <c r="D36" s="235">
        <v>39.6</v>
      </c>
      <c r="E36" s="237"/>
      <c r="F36" s="237"/>
      <c r="G36" s="239"/>
      <c r="H36" s="17"/>
      <c r="I36" s="17"/>
      <c r="J36" s="17"/>
      <c r="K36" s="17"/>
      <c r="L36" s="18"/>
      <c r="M36" s="31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</row>
    <row r="37" spans="1:34" ht="15" customHeight="1" thickBot="1" x14ac:dyDescent="0.3">
      <c r="A37" s="22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8"/>
      <c r="M37" s="31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</row>
    <row r="38" spans="1:34" ht="15" customHeight="1" thickBot="1" x14ac:dyDescent="0.3">
      <c r="A38" s="22"/>
      <c r="B38" s="17"/>
      <c r="C38" s="233" t="s">
        <v>295</v>
      </c>
      <c r="D38" s="240">
        <v>12</v>
      </c>
      <c r="E38" s="240">
        <v>24</v>
      </c>
      <c r="F38" s="240">
        <v>36</v>
      </c>
      <c r="G38" s="240">
        <v>48</v>
      </c>
      <c r="H38" s="17"/>
      <c r="I38" s="17"/>
      <c r="J38" s="17"/>
      <c r="K38" s="17"/>
      <c r="L38" s="18"/>
      <c r="M38" s="31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</row>
    <row r="39" spans="1:34" ht="15" customHeight="1" thickBot="1" x14ac:dyDescent="0.3">
      <c r="A39" s="22"/>
      <c r="B39" s="17"/>
      <c r="C39" s="233">
        <v>2020</v>
      </c>
      <c r="D39" s="234">
        <v>46.8</v>
      </c>
      <c r="E39" s="234">
        <v>144.30000000000001</v>
      </c>
      <c r="F39" s="234">
        <v>196.9</v>
      </c>
      <c r="G39" s="235">
        <v>240</v>
      </c>
      <c r="H39" s="17"/>
      <c r="I39" s="17"/>
      <c r="J39" s="17"/>
      <c r="K39" s="17"/>
      <c r="L39" s="18"/>
      <c r="M39" s="31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</row>
    <row r="40" spans="1:34" ht="15" customHeight="1" thickBot="1" x14ac:dyDescent="0.3">
      <c r="A40" s="22"/>
      <c r="B40" s="17"/>
      <c r="C40" s="233">
        <v>2021</v>
      </c>
      <c r="D40" s="234">
        <v>53.3</v>
      </c>
      <c r="E40" s="234">
        <v>145.4</v>
      </c>
      <c r="F40" s="235">
        <v>203.1</v>
      </c>
      <c r="G40" s="238"/>
      <c r="H40" s="17"/>
      <c r="I40" s="17"/>
      <c r="J40" s="17"/>
      <c r="K40" s="17"/>
      <c r="L40" s="18"/>
      <c r="M40" s="31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</row>
    <row r="41" spans="1:34" ht="15" customHeight="1" thickBot="1" x14ac:dyDescent="0.3">
      <c r="A41" s="22"/>
      <c r="B41" s="17"/>
      <c r="C41" s="233">
        <v>2022</v>
      </c>
      <c r="D41" s="234">
        <v>60</v>
      </c>
      <c r="E41" s="235">
        <v>151.19999999999999</v>
      </c>
      <c r="F41" s="236"/>
      <c r="G41" s="238"/>
      <c r="H41" s="17"/>
      <c r="I41" s="17"/>
      <c r="J41" s="17"/>
      <c r="K41" s="17"/>
      <c r="L41" s="18"/>
      <c r="M41" s="3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</row>
    <row r="42" spans="1:34" ht="15" customHeight="1" thickBot="1" x14ac:dyDescent="0.3">
      <c r="A42" s="22"/>
      <c r="B42" s="17"/>
      <c r="C42" s="233">
        <v>2023</v>
      </c>
      <c r="D42" s="235">
        <v>68.599999999999994</v>
      </c>
      <c r="E42" s="237"/>
      <c r="F42" s="237"/>
      <c r="G42" s="239"/>
      <c r="H42" s="17"/>
      <c r="I42" s="17"/>
      <c r="J42" s="17"/>
      <c r="K42" s="17"/>
      <c r="L42" s="18"/>
      <c r="M42" s="31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</row>
    <row r="43" spans="1:34" ht="15" customHeight="1" thickBot="1" x14ac:dyDescent="0.3">
      <c r="A43" s="22"/>
      <c r="B43" s="17"/>
      <c r="C43" s="65"/>
      <c r="D43" s="241"/>
      <c r="E43" s="241"/>
      <c r="F43" s="241"/>
      <c r="G43" s="241"/>
      <c r="H43" s="17"/>
      <c r="I43" s="17"/>
      <c r="J43" s="17"/>
      <c r="K43" s="17"/>
      <c r="L43" s="18"/>
      <c r="M43" s="31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</row>
    <row r="44" spans="1:34" ht="15" customHeight="1" thickBot="1" x14ac:dyDescent="0.3">
      <c r="A44" s="22"/>
      <c r="B44" s="17"/>
      <c r="C44" s="233" t="s">
        <v>296</v>
      </c>
      <c r="D44" s="240">
        <v>12</v>
      </c>
      <c r="E44" s="240">
        <v>24</v>
      </c>
      <c r="F44" s="240">
        <v>36</v>
      </c>
      <c r="G44" s="240">
        <v>48</v>
      </c>
      <c r="H44" s="17"/>
      <c r="I44" s="17"/>
      <c r="J44" s="17"/>
      <c r="K44" s="17"/>
      <c r="L44" s="18"/>
      <c r="M44" s="31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</row>
    <row r="45" spans="1:34" ht="15" customHeight="1" thickBot="1" x14ac:dyDescent="0.3">
      <c r="A45" s="22"/>
      <c r="B45" s="17"/>
      <c r="C45" s="233">
        <v>2020</v>
      </c>
      <c r="D45" s="234">
        <v>48</v>
      </c>
      <c r="E45" s="234">
        <v>140</v>
      </c>
      <c r="F45" s="234">
        <v>201</v>
      </c>
      <c r="G45" s="235">
        <v>240</v>
      </c>
      <c r="H45" s="17"/>
      <c r="I45" s="17"/>
      <c r="J45" s="17"/>
      <c r="K45" s="17"/>
      <c r="L45" s="18"/>
      <c r="M45" s="31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</row>
    <row r="46" spans="1:34" ht="15" customHeight="1" thickBot="1" x14ac:dyDescent="0.3">
      <c r="A46" s="22"/>
      <c r="B46" s="17"/>
      <c r="C46" s="233">
        <v>2021</v>
      </c>
      <c r="D46" s="234">
        <v>52</v>
      </c>
      <c r="E46" s="234">
        <v>152</v>
      </c>
      <c r="F46" s="235">
        <v>217</v>
      </c>
      <c r="G46" s="238"/>
      <c r="H46" s="17"/>
      <c r="I46" s="17"/>
      <c r="J46" s="17"/>
      <c r="K46" s="17"/>
      <c r="L46" s="18"/>
      <c r="M46" s="31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</row>
    <row r="47" spans="1:34" ht="15" customHeight="1" thickBot="1" x14ac:dyDescent="0.3">
      <c r="A47" s="22"/>
      <c r="B47" s="17"/>
      <c r="C47" s="233">
        <v>2022</v>
      </c>
      <c r="D47" s="234">
        <v>56</v>
      </c>
      <c r="E47" s="235">
        <v>164</v>
      </c>
      <c r="F47" s="236"/>
      <c r="G47" s="238"/>
      <c r="H47" s="17"/>
      <c r="I47" s="17"/>
      <c r="J47" s="17"/>
      <c r="K47" s="17"/>
      <c r="L47" s="18"/>
      <c r="M47" s="31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</row>
    <row r="48" spans="1:34" ht="15" customHeight="1" thickBot="1" x14ac:dyDescent="0.3">
      <c r="A48" s="22"/>
      <c r="B48" s="17"/>
      <c r="C48" s="233">
        <v>2023</v>
      </c>
      <c r="D48" s="235">
        <v>60</v>
      </c>
      <c r="E48" s="237"/>
      <c r="F48" s="237"/>
      <c r="G48" s="239"/>
      <c r="H48" s="17"/>
      <c r="I48" s="17"/>
      <c r="J48" s="17"/>
      <c r="K48" s="17"/>
      <c r="L48" s="18"/>
      <c r="M48" s="31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</row>
    <row r="49" spans="1:34" ht="15" customHeight="1" x14ac:dyDescent="0.25">
      <c r="A49" s="22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8"/>
      <c r="M49" s="31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</row>
    <row r="50" spans="1:34" ht="15" customHeight="1" x14ac:dyDescent="0.25">
      <c r="A50" s="22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8"/>
      <c r="M50" s="31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</row>
    <row r="51" spans="1:34" ht="15" customHeight="1" x14ac:dyDescent="0.25">
      <c r="A51" s="22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8"/>
      <c r="M51" s="3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</row>
    <row r="52" spans="1:34" ht="15" customHeight="1" thickBot="1" x14ac:dyDescent="0.3">
      <c r="A52" s="24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3"/>
      <c r="M52" s="31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</row>
    <row r="53" spans="1:34" ht="15" customHeight="1" x14ac:dyDescent="0.25"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</row>
    <row r="54" spans="1:34" ht="15" customHeight="1" x14ac:dyDescent="0.25"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</row>
    <row r="55" spans="1:34" ht="15" customHeight="1" x14ac:dyDescent="0.25"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</row>
    <row r="56" spans="1:34" ht="15" customHeight="1" x14ac:dyDescent="0.25"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</row>
    <row r="57" spans="1:34" ht="15" customHeight="1" x14ac:dyDescent="0.25"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</row>
    <row r="58" spans="1:34" ht="15" customHeight="1" x14ac:dyDescent="0.25"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</row>
    <row r="59" spans="1:34" ht="15" customHeight="1" x14ac:dyDescent="0.25"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</row>
    <row r="60" spans="1:34" ht="15" customHeight="1" x14ac:dyDescent="0.25"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</row>
    <row r="61" spans="1:34" ht="15" customHeight="1" x14ac:dyDescent="0.25"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</row>
    <row r="62" spans="1:34" ht="15" customHeight="1" x14ac:dyDescent="0.25"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</row>
    <row r="63" spans="1:34" ht="15" customHeight="1" x14ac:dyDescent="0.25"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</row>
    <row r="64" spans="1:34" ht="15" customHeight="1" x14ac:dyDescent="0.25"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</row>
    <row r="65" spans="2:34" ht="15" customHeight="1" x14ac:dyDescent="0.25"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</row>
    <row r="66" spans="2:34" ht="15" customHeight="1" x14ac:dyDescent="0.25"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</row>
    <row r="67" spans="2:34" ht="15" customHeight="1" x14ac:dyDescent="0.25"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</row>
    <row r="68" spans="2:34" ht="15" customHeight="1" x14ac:dyDescent="0.25"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</row>
    <row r="69" spans="2:34" ht="15" customHeight="1" x14ac:dyDescent="0.25"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</row>
    <row r="70" spans="2:34" ht="15" customHeight="1" x14ac:dyDescent="0.25"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</row>
    <row r="71" spans="2:34" ht="15" customHeight="1" x14ac:dyDescent="0.25"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</row>
    <row r="72" spans="2:34" ht="15" customHeight="1" x14ac:dyDescent="0.25"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</row>
    <row r="73" spans="2:34" ht="15" customHeight="1" x14ac:dyDescent="0.25"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</row>
    <row r="74" spans="2:34" ht="15" customHeight="1" x14ac:dyDescent="0.25"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</row>
    <row r="75" spans="2:34" ht="15" customHeight="1" x14ac:dyDescent="0.25"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</row>
    <row r="76" spans="2:34" ht="15" customHeight="1" x14ac:dyDescent="0.25"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</row>
    <row r="77" spans="2:34" ht="15" customHeight="1" x14ac:dyDescent="0.25"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</row>
    <row r="78" spans="2:34" ht="15" customHeight="1" x14ac:dyDescent="0.25"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</row>
    <row r="79" spans="2:34" ht="15" customHeight="1" x14ac:dyDescent="0.25"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</row>
    <row r="80" spans="2:34" ht="15" customHeight="1" x14ac:dyDescent="0.25"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</row>
    <row r="81" spans="2:34" ht="15" customHeight="1" x14ac:dyDescent="0.25"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</row>
    <row r="82" spans="2:34" ht="15" customHeight="1" x14ac:dyDescent="0.25"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</row>
    <row r="83" spans="2:34" ht="15" customHeight="1" x14ac:dyDescent="0.25"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</row>
    <row r="84" spans="2:34" ht="15" customHeight="1" x14ac:dyDescent="0.25"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</row>
    <row r="85" spans="2:34" ht="15" customHeight="1" x14ac:dyDescent="0.25"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</row>
    <row r="86" spans="2:34" ht="15" customHeight="1" x14ac:dyDescent="0.25"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</row>
    <row r="87" spans="2:34" ht="15" customHeight="1" x14ac:dyDescent="0.25"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</row>
    <row r="88" spans="2:34" ht="15" customHeight="1" x14ac:dyDescent="0.25"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</row>
    <row r="89" spans="2:34" ht="15" customHeight="1" x14ac:dyDescent="0.25"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</row>
    <row r="90" spans="2:34" ht="15" customHeight="1" x14ac:dyDescent="0.25"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</row>
    <row r="91" spans="2:34" ht="15" customHeight="1" x14ac:dyDescent="0.25"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</row>
    <row r="92" spans="2:34" ht="15" customHeight="1" x14ac:dyDescent="0.25"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</row>
    <row r="93" spans="2:34" ht="15" customHeight="1" x14ac:dyDescent="0.25"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</row>
    <row r="94" spans="2:34" ht="15" customHeight="1" x14ac:dyDescent="0.25"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</row>
    <row r="95" spans="2:34" ht="15" customHeight="1" x14ac:dyDescent="0.25"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</row>
    <row r="96" spans="2:34" ht="15" customHeight="1" x14ac:dyDescent="0.25"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</row>
    <row r="97" spans="2:34" ht="15" customHeight="1" x14ac:dyDescent="0.25"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</row>
    <row r="98" spans="2:34" ht="15" customHeight="1" x14ac:dyDescent="0.25"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</row>
    <row r="99" spans="2:34" ht="15" customHeight="1" x14ac:dyDescent="0.25"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</row>
    <row r="100" spans="2:34" ht="15" customHeight="1" x14ac:dyDescent="0.25"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</row>
    <row r="101" spans="2:34" ht="15" customHeight="1" x14ac:dyDescent="0.25"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</row>
    <row r="102" spans="2:34" ht="15" customHeight="1" x14ac:dyDescent="0.25"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</row>
    <row r="103" spans="2:34" ht="15" customHeight="1" x14ac:dyDescent="0.25"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</row>
    <row r="104" spans="2:34" ht="15" customHeight="1" x14ac:dyDescent="0.25"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</row>
    <row r="105" spans="2:34" ht="15" customHeight="1" x14ac:dyDescent="0.25"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</row>
    <row r="106" spans="2:34" ht="15" customHeight="1" x14ac:dyDescent="0.25"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</row>
  </sheetData>
  <mergeCells count="1">
    <mergeCell ref="K1:L1"/>
  </mergeCells>
  <conditionalFormatting sqref="B1">
    <cfRule type="cellIs" dxfId="29" priority="1" operator="equal">
      <formula>"Incomplete"</formula>
    </cfRule>
    <cfRule type="cellIs" dxfId="28" priority="2" operator="equal">
      <formula>"Flag for Review"</formula>
    </cfRule>
    <cfRule type="cellIs" dxfId="27" priority="3" operator="equal">
      <formula>"Finished"</formula>
    </cfRule>
  </conditionalFormatting>
  <dataValidations count="1">
    <dataValidation type="list" allowBlank="1" showInputMessage="1" showErrorMessage="1" sqref="B1">
      <formula1>"Finished, Flag for Review, Incomplete"</formula1>
    </dataValidation>
  </dataValidations>
  <hyperlinks>
    <hyperlink ref="K1" location="'Point Grid'!A8" display="Return to Point Grid"/>
    <hyperlink ref="K1:L1" location="'Point Grid'!A1" display="Return to Point Grid"/>
  </hyperlink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AI101"/>
  <sheetViews>
    <sheetView zoomScaleNormal="100" workbookViewId="0"/>
  </sheetViews>
  <sheetFormatPr defaultColWidth="9.140625" defaultRowHeight="15" x14ac:dyDescent="0.25"/>
  <cols>
    <col min="1" max="1" width="9.140625" style="21"/>
    <col min="2" max="2" width="16" style="21" bestFit="1" customWidth="1"/>
    <col min="3" max="11" width="11.140625" style="21" customWidth="1"/>
    <col min="12" max="16384" width="9.140625" style="21"/>
  </cols>
  <sheetData>
    <row r="1" spans="1:35" x14ac:dyDescent="0.25">
      <c r="A1" s="7">
        <v>22</v>
      </c>
      <c r="B1" s="27" t="s">
        <v>12</v>
      </c>
      <c r="C1" s="20"/>
      <c r="D1" s="20"/>
      <c r="E1" s="20"/>
      <c r="F1" s="20"/>
      <c r="G1" s="20"/>
      <c r="H1" s="20"/>
      <c r="I1" s="20"/>
      <c r="J1" s="384" t="s">
        <v>24</v>
      </c>
      <c r="K1" s="385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</row>
    <row r="2" spans="1:35" x14ac:dyDescent="0.25">
      <c r="A2" s="22"/>
      <c r="B2" s="19"/>
      <c r="C2" s="19"/>
      <c r="D2" s="19"/>
      <c r="E2" s="19"/>
      <c r="F2" s="19"/>
      <c r="G2" s="19"/>
      <c r="H2" s="19"/>
      <c r="I2" s="19"/>
      <c r="J2" s="19"/>
      <c r="K2" s="23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</row>
    <row r="3" spans="1:35" x14ac:dyDescent="0.25">
      <c r="A3" s="8" t="s">
        <v>13</v>
      </c>
      <c r="B3" s="17"/>
      <c r="C3" s="17"/>
      <c r="D3" s="17"/>
      <c r="E3" s="17"/>
      <c r="F3" s="17"/>
      <c r="G3" s="17"/>
      <c r="H3" s="17"/>
      <c r="I3" s="17"/>
      <c r="J3" s="17"/>
      <c r="K3" s="18"/>
      <c r="L3" s="31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</row>
    <row r="4" spans="1:35" x14ac:dyDescent="0.25">
      <c r="A4" s="9">
        <f>INDEX('Point Grid'!B:B,MATCH(A1,'Point Grid'!A:A,0))</f>
        <v>1.75</v>
      </c>
      <c r="B4" s="17"/>
      <c r="C4" s="17"/>
      <c r="D4" s="17"/>
      <c r="E4" s="17"/>
      <c r="F4" s="17"/>
      <c r="G4" s="17"/>
      <c r="H4" s="17"/>
      <c r="I4" s="17"/>
      <c r="J4" s="17"/>
      <c r="K4" s="18"/>
      <c r="L4" s="31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</row>
    <row r="5" spans="1:35" x14ac:dyDescent="0.25">
      <c r="A5" s="16"/>
      <c r="B5" s="17"/>
      <c r="C5" s="17"/>
      <c r="D5" s="17"/>
      <c r="E5" s="17"/>
      <c r="F5" s="17"/>
      <c r="G5" s="17"/>
      <c r="H5" s="17"/>
      <c r="I5" s="17"/>
      <c r="J5" s="17"/>
      <c r="K5" s="18"/>
      <c r="L5" s="31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</row>
    <row r="6" spans="1:35" x14ac:dyDescent="0.25">
      <c r="A6" s="25" t="s">
        <v>2</v>
      </c>
      <c r="B6" s="17" t="s">
        <v>298</v>
      </c>
      <c r="C6" s="17"/>
      <c r="D6" s="17"/>
      <c r="E6" s="17"/>
      <c r="F6" s="17"/>
      <c r="G6" s="17"/>
      <c r="H6" s="17"/>
      <c r="I6" s="17"/>
      <c r="J6" s="17"/>
      <c r="K6" s="18"/>
      <c r="L6" s="31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</row>
    <row r="7" spans="1:35" ht="15.75" thickBot="1" x14ac:dyDescent="0.3">
      <c r="A7" s="9">
        <f>INDEX('Point Grid'!$C$8:$I$54,MATCH($A$1,'Point Grid'!$A$8:$A$54,0),MATCH(A6,'Point Grid'!$C$7:$I$7,0))</f>
        <v>0.25</v>
      </c>
      <c r="B7" s="17"/>
      <c r="C7" s="17"/>
      <c r="D7" s="17"/>
      <c r="E7" s="17"/>
      <c r="F7" s="17"/>
      <c r="G7" s="17"/>
      <c r="H7" s="17"/>
      <c r="I7" s="17"/>
      <c r="J7" s="17"/>
      <c r="K7" s="18"/>
      <c r="L7" s="31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</row>
    <row r="8" spans="1:35" ht="15.75" thickBot="1" x14ac:dyDescent="0.3">
      <c r="A8" s="5"/>
      <c r="B8" s="17"/>
      <c r="C8" s="28"/>
      <c r="D8" s="28"/>
      <c r="E8" s="28"/>
      <c r="F8" s="28"/>
      <c r="G8" s="28"/>
      <c r="H8" s="28"/>
      <c r="I8" s="28"/>
      <c r="J8" s="28"/>
      <c r="K8" s="18"/>
      <c r="L8" s="31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</row>
    <row r="9" spans="1:35" x14ac:dyDescent="0.25">
      <c r="A9" s="25"/>
      <c r="B9" s="17"/>
      <c r="C9" s="17"/>
      <c r="D9" s="17"/>
      <c r="E9" s="17"/>
      <c r="F9" s="17"/>
      <c r="G9" s="17"/>
      <c r="H9" s="17"/>
      <c r="I9" s="17"/>
      <c r="J9" s="17"/>
      <c r="K9" s="18"/>
      <c r="L9" s="31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</row>
    <row r="10" spans="1:35" x14ac:dyDescent="0.25">
      <c r="A10" s="25" t="s">
        <v>3</v>
      </c>
      <c r="B10" s="17" t="s">
        <v>299</v>
      </c>
      <c r="C10" s="17"/>
      <c r="D10" s="17"/>
      <c r="E10" s="17"/>
      <c r="F10" s="17"/>
      <c r="G10" s="17"/>
      <c r="H10" s="17"/>
      <c r="I10" s="17"/>
      <c r="J10" s="17"/>
      <c r="K10" s="18"/>
      <c r="L10" s="31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</row>
    <row r="11" spans="1:35" ht="15.75" thickBot="1" x14ac:dyDescent="0.3">
      <c r="A11" s="9">
        <f>INDEX('Point Grid'!$C$8:$I$54,MATCH($A$1,'Point Grid'!$A$8:$A$54,0),MATCH(A10,'Point Grid'!$C$7:$I$7,0))</f>
        <v>0.5</v>
      </c>
      <c r="B11" s="17" t="s">
        <v>300</v>
      </c>
      <c r="C11" s="17"/>
      <c r="D11" s="17"/>
      <c r="E11" s="17"/>
      <c r="F11" s="17"/>
      <c r="G11" s="17"/>
      <c r="H11" s="17"/>
      <c r="I11" s="17"/>
      <c r="J11" s="17"/>
      <c r="K11" s="18"/>
      <c r="L11" s="3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</row>
    <row r="12" spans="1:35" ht="15.75" thickBot="1" x14ac:dyDescent="0.3">
      <c r="A12" s="5"/>
      <c r="B12" s="17"/>
      <c r="C12" s="28"/>
      <c r="D12" s="28"/>
      <c r="E12" s="28"/>
      <c r="F12" s="28"/>
      <c r="G12" s="28"/>
      <c r="H12" s="28"/>
      <c r="I12" s="28"/>
      <c r="J12" s="28"/>
      <c r="K12" s="18"/>
      <c r="L12" s="31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</row>
    <row r="13" spans="1:35" x14ac:dyDescent="0.25">
      <c r="A13" s="25"/>
      <c r="B13" s="17"/>
      <c r="C13" s="28"/>
      <c r="D13" s="28"/>
      <c r="E13" s="28"/>
      <c r="F13" s="28"/>
      <c r="G13" s="28"/>
      <c r="H13" s="28"/>
      <c r="I13" s="28"/>
      <c r="J13" s="28"/>
      <c r="K13" s="18"/>
      <c r="L13" s="31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</row>
    <row r="14" spans="1:35" x14ac:dyDescent="0.25">
      <c r="A14" s="25" t="s">
        <v>4</v>
      </c>
      <c r="B14" s="116" t="s">
        <v>302</v>
      </c>
      <c r="C14" s="116"/>
      <c r="D14" s="166" t="s">
        <v>314</v>
      </c>
      <c r="E14" s="166" t="s">
        <v>303</v>
      </c>
      <c r="F14" s="242">
        <v>2024</v>
      </c>
      <c r="G14" s="116" t="s">
        <v>304</v>
      </c>
      <c r="H14" s="116"/>
      <c r="I14" s="116"/>
      <c r="J14" s="116"/>
      <c r="K14" s="18"/>
      <c r="L14" s="31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</row>
    <row r="15" spans="1:35" ht="15.75" thickBot="1" x14ac:dyDescent="0.3">
      <c r="A15" s="9">
        <f>INDEX('Point Grid'!$C$8:$I$54,MATCH($A$1,'Point Grid'!$A$8:$A$54,0),MATCH(A14,'Point Grid'!$C$7:$I$7,0))</f>
        <v>1</v>
      </c>
      <c r="B15" s="116"/>
      <c r="C15" s="116"/>
      <c r="D15" s="116"/>
      <c r="E15" s="116"/>
      <c r="F15" s="116"/>
      <c r="G15" s="116"/>
      <c r="H15" s="116"/>
      <c r="I15" s="116"/>
      <c r="J15" s="116"/>
      <c r="K15" s="18"/>
      <c r="L15" s="31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</row>
    <row r="16" spans="1:35" ht="15.75" thickBot="1" x14ac:dyDescent="0.3">
      <c r="A16" s="5"/>
      <c r="B16" s="116"/>
      <c r="C16" s="116"/>
      <c r="D16" s="116"/>
      <c r="E16" s="116"/>
      <c r="F16" s="116"/>
      <c r="G16" s="116"/>
      <c r="H16" s="116"/>
      <c r="I16" s="116"/>
      <c r="J16" s="116"/>
      <c r="K16" s="18"/>
      <c r="L16" s="31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</row>
    <row r="17" spans="1:35" x14ac:dyDescent="0.25">
      <c r="A17" s="22"/>
      <c r="B17" s="65" t="s">
        <v>305</v>
      </c>
      <c r="C17" s="65"/>
      <c r="D17" s="65"/>
      <c r="E17" s="65"/>
      <c r="F17" s="243"/>
      <c r="G17" s="244" t="s">
        <v>306</v>
      </c>
      <c r="H17" s="245" t="s">
        <v>307</v>
      </c>
      <c r="I17" s="246">
        <v>640</v>
      </c>
      <c r="J17" s="116"/>
      <c r="K17" s="18"/>
      <c r="L17" s="31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</row>
    <row r="18" spans="1:35" ht="15" customHeight="1" x14ac:dyDescent="0.25">
      <c r="A18" s="22"/>
      <c r="B18" s="65"/>
      <c r="C18" s="65"/>
      <c r="D18" s="65"/>
      <c r="E18" s="65"/>
      <c r="F18" s="247"/>
      <c r="G18" s="248" t="s">
        <v>308</v>
      </c>
      <c r="H18" s="249" t="s">
        <v>307</v>
      </c>
      <c r="I18" s="250">
        <v>1040</v>
      </c>
      <c r="J18" s="251"/>
      <c r="K18" s="18"/>
      <c r="L18" s="31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</row>
    <row r="19" spans="1:35" ht="15" customHeight="1" x14ac:dyDescent="0.25">
      <c r="A19" s="22"/>
      <c r="B19" s="252" t="s">
        <v>309</v>
      </c>
      <c r="C19" s="253">
        <v>2024</v>
      </c>
      <c r="D19" s="254">
        <v>1700</v>
      </c>
      <c r="E19" s="65"/>
      <c r="F19" s="255"/>
      <c r="G19" s="256" t="s">
        <v>316</v>
      </c>
      <c r="H19" s="257" t="s">
        <v>310</v>
      </c>
      <c r="I19" s="258">
        <v>1.7</v>
      </c>
      <c r="J19" s="65"/>
      <c r="K19" s="18"/>
      <c r="L19" s="31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</row>
    <row r="20" spans="1:35" ht="15" customHeight="1" x14ac:dyDescent="0.25">
      <c r="A20" s="22"/>
      <c r="B20" s="259" t="s">
        <v>311</v>
      </c>
      <c r="C20" s="260">
        <v>2024</v>
      </c>
      <c r="D20" s="196">
        <v>0.7</v>
      </c>
      <c r="E20" s="116"/>
      <c r="F20" s="261"/>
      <c r="G20" s="248" t="s">
        <v>306</v>
      </c>
      <c r="H20" s="249" t="s">
        <v>312</v>
      </c>
      <c r="I20" s="250">
        <v>930</v>
      </c>
      <c r="J20" s="116"/>
      <c r="K20" s="18"/>
      <c r="L20" s="31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</row>
    <row r="21" spans="1:35" ht="15" customHeight="1" x14ac:dyDescent="0.25">
      <c r="A21" s="22"/>
      <c r="B21" s="252" t="s">
        <v>309</v>
      </c>
      <c r="C21" s="253">
        <v>2025</v>
      </c>
      <c r="D21" s="254">
        <v>800</v>
      </c>
      <c r="E21" s="116"/>
      <c r="F21" s="247"/>
      <c r="G21" s="248" t="s">
        <v>308</v>
      </c>
      <c r="H21" s="249" t="s">
        <v>312</v>
      </c>
      <c r="I21" s="250">
        <v>1640</v>
      </c>
      <c r="J21" s="116"/>
      <c r="K21" s="18"/>
      <c r="L21" s="3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</row>
    <row r="22" spans="1:35" ht="15" customHeight="1" x14ac:dyDescent="0.25">
      <c r="A22" s="22"/>
      <c r="B22" s="259" t="s">
        <v>311</v>
      </c>
      <c r="C22" s="260">
        <v>2025</v>
      </c>
      <c r="D22" s="196">
        <v>0.75</v>
      </c>
      <c r="E22" s="116"/>
      <c r="F22" s="255"/>
      <c r="G22" s="256" t="s">
        <v>316</v>
      </c>
      <c r="H22" s="257" t="s">
        <v>313</v>
      </c>
      <c r="I22" s="258">
        <v>1.4</v>
      </c>
      <c r="J22" s="116"/>
      <c r="K22" s="18"/>
      <c r="L22" s="31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</row>
    <row r="23" spans="1:35" ht="15" customHeight="1" x14ac:dyDescent="0.25">
      <c r="A23" s="22"/>
      <c r="B23" s="17"/>
      <c r="C23" s="17"/>
      <c r="D23" s="17"/>
      <c r="E23" s="17"/>
      <c r="F23" s="17"/>
      <c r="G23" s="17"/>
      <c r="H23" s="17"/>
      <c r="I23" s="17"/>
      <c r="J23" s="17"/>
      <c r="K23" s="18"/>
      <c r="L23" s="31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</row>
    <row r="24" spans="1:35" ht="15" customHeight="1" x14ac:dyDescent="0.25">
      <c r="A24" s="22"/>
      <c r="B24" s="17"/>
      <c r="C24" s="17"/>
      <c r="D24" s="17"/>
      <c r="E24" s="17"/>
      <c r="F24" s="17"/>
      <c r="G24" s="17"/>
      <c r="H24" s="17"/>
      <c r="I24" s="17"/>
      <c r="J24" s="17"/>
      <c r="K24" s="18"/>
      <c r="L24" s="31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</row>
    <row r="25" spans="1:35" ht="15" customHeight="1" x14ac:dyDescent="0.25">
      <c r="A25" s="22"/>
      <c r="B25" s="17"/>
      <c r="C25" s="17"/>
      <c r="D25" s="17"/>
      <c r="E25" s="17"/>
      <c r="F25" s="17"/>
      <c r="G25" s="17"/>
      <c r="H25" s="17"/>
      <c r="I25" s="17"/>
      <c r="J25" s="17"/>
      <c r="K25" s="18"/>
      <c r="L25" s="31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</row>
    <row r="26" spans="1:35" ht="15" customHeight="1" x14ac:dyDescent="0.25">
      <c r="A26" s="22"/>
      <c r="B26" s="17"/>
      <c r="C26" s="17"/>
      <c r="D26" s="17"/>
      <c r="E26" s="17"/>
      <c r="F26" s="17"/>
      <c r="G26" s="17"/>
      <c r="H26" s="17"/>
      <c r="I26" s="17"/>
      <c r="J26" s="17"/>
      <c r="K26" s="18"/>
      <c r="L26" s="31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</row>
    <row r="27" spans="1:35" ht="15" customHeight="1" x14ac:dyDescent="0.25">
      <c r="A27" s="22"/>
      <c r="B27" s="17"/>
      <c r="C27" s="17"/>
      <c r="D27" s="17"/>
      <c r="E27" s="17"/>
      <c r="F27" s="17"/>
      <c r="G27" s="17"/>
      <c r="H27" s="17"/>
      <c r="I27" s="17"/>
      <c r="J27" s="17"/>
      <c r="K27" s="18"/>
      <c r="L27" s="31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</row>
    <row r="28" spans="1:35" ht="15" customHeight="1" x14ac:dyDescent="0.25">
      <c r="A28" s="22"/>
      <c r="B28" s="17"/>
      <c r="C28" s="17"/>
      <c r="D28" s="17"/>
      <c r="E28" s="17"/>
      <c r="F28" s="17"/>
      <c r="G28" s="17"/>
      <c r="H28" s="17"/>
      <c r="I28" s="17"/>
      <c r="J28" s="17"/>
      <c r="K28" s="18"/>
      <c r="L28" s="31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</row>
    <row r="29" spans="1:35" ht="15" customHeight="1" x14ac:dyDescent="0.25">
      <c r="A29" s="22"/>
      <c r="B29" s="17"/>
      <c r="C29" s="17"/>
      <c r="D29" s="17"/>
      <c r="E29" s="17"/>
      <c r="F29" s="17"/>
      <c r="G29" s="17"/>
      <c r="H29" s="17"/>
      <c r="I29" s="17"/>
      <c r="J29" s="17"/>
      <c r="K29" s="18"/>
      <c r="L29" s="31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</row>
    <row r="30" spans="1:35" ht="15" customHeight="1" thickBot="1" x14ac:dyDescent="0.3">
      <c r="A30" s="24"/>
      <c r="B30" s="32"/>
      <c r="C30" s="32"/>
      <c r="D30" s="32"/>
      <c r="E30" s="32"/>
      <c r="F30" s="32"/>
      <c r="G30" s="32"/>
      <c r="H30" s="32"/>
      <c r="I30" s="32"/>
      <c r="J30" s="32"/>
      <c r="K30" s="33"/>
      <c r="L30" s="31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</row>
    <row r="31" spans="1:35" ht="15" customHeight="1" x14ac:dyDescent="0.25"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</row>
    <row r="32" spans="1:35" ht="15" customHeight="1" x14ac:dyDescent="0.25">
      <c r="L32" s="31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</row>
    <row r="33" spans="2:35" ht="15" customHeight="1" x14ac:dyDescent="0.25">
      <c r="L33" s="31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</row>
    <row r="34" spans="2:35" ht="15" customHeight="1" x14ac:dyDescent="0.25">
      <c r="L34" s="31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</row>
    <row r="35" spans="2:35" ht="15" customHeight="1" x14ac:dyDescent="0.25">
      <c r="L35" s="31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</row>
    <row r="36" spans="2:35" ht="15" customHeight="1" x14ac:dyDescent="0.25">
      <c r="L36" s="31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</row>
    <row r="37" spans="2:35" ht="15" customHeight="1" x14ac:dyDescent="0.25">
      <c r="L37" s="31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</row>
    <row r="38" spans="2:35" ht="15" customHeight="1" x14ac:dyDescent="0.25">
      <c r="L38" s="31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</row>
    <row r="39" spans="2:35" ht="15" customHeight="1" x14ac:dyDescent="0.25">
      <c r="L39" s="31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</row>
    <row r="40" spans="2:35" ht="15" customHeight="1" x14ac:dyDescent="0.25">
      <c r="L40" s="31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</row>
    <row r="41" spans="2:35" ht="15" customHeight="1" x14ac:dyDescent="0.25">
      <c r="L41" s="3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</row>
    <row r="42" spans="2:35" ht="15" customHeight="1" x14ac:dyDescent="0.25">
      <c r="L42" s="31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</row>
    <row r="43" spans="2:35" ht="15" customHeight="1" x14ac:dyDescent="0.25">
      <c r="L43" s="31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</row>
    <row r="44" spans="2:35" ht="15" customHeight="1" x14ac:dyDescent="0.25">
      <c r="L44" s="31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</row>
    <row r="45" spans="2:35" ht="15" customHeight="1" x14ac:dyDescent="0.25">
      <c r="L45" s="31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</row>
    <row r="46" spans="2:35" ht="15" customHeight="1" x14ac:dyDescent="0.25"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</row>
    <row r="47" spans="2:35" ht="15" customHeight="1" x14ac:dyDescent="0.25"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</row>
    <row r="48" spans="2:35" ht="15" customHeight="1" x14ac:dyDescent="0.25"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</row>
    <row r="49" spans="2:35" ht="15" customHeight="1" x14ac:dyDescent="0.25"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</row>
    <row r="50" spans="2:35" ht="15" customHeight="1" x14ac:dyDescent="0.25"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</row>
    <row r="51" spans="2:35" ht="15" customHeight="1" x14ac:dyDescent="0.25"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</row>
    <row r="52" spans="2:35" ht="15" customHeight="1" x14ac:dyDescent="0.25"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</row>
    <row r="53" spans="2:35" ht="15" customHeight="1" x14ac:dyDescent="0.25"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</row>
    <row r="54" spans="2:35" ht="15" customHeight="1" x14ac:dyDescent="0.25"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</row>
    <row r="55" spans="2:35" ht="15" customHeight="1" x14ac:dyDescent="0.25"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</row>
    <row r="56" spans="2:35" ht="15" customHeight="1" x14ac:dyDescent="0.25"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</row>
    <row r="57" spans="2:35" ht="15" customHeight="1" x14ac:dyDescent="0.25"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</row>
    <row r="58" spans="2:35" ht="15" customHeight="1" x14ac:dyDescent="0.25"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</row>
    <row r="59" spans="2:35" ht="15" customHeight="1" x14ac:dyDescent="0.25"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</row>
    <row r="60" spans="2:35" ht="15" customHeight="1" x14ac:dyDescent="0.25"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</row>
    <row r="61" spans="2:35" ht="15" customHeight="1" x14ac:dyDescent="0.25"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</row>
    <row r="62" spans="2:35" ht="15" customHeight="1" x14ac:dyDescent="0.25"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</row>
    <row r="63" spans="2:35" ht="15" customHeight="1" x14ac:dyDescent="0.25"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</row>
    <row r="64" spans="2:35" ht="15" customHeight="1" x14ac:dyDescent="0.25"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</row>
    <row r="65" spans="2:35" ht="15" customHeight="1" x14ac:dyDescent="0.25"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</row>
    <row r="66" spans="2:35" ht="15" customHeight="1" x14ac:dyDescent="0.25"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</row>
    <row r="67" spans="2:35" ht="15" customHeight="1" x14ac:dyDescent="0.25"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</row>
    <row r="68" spans="2:35" ht="15" customHeight="1" x14ac:dyDescent="0.25"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</row>
    <row r="69" spans="2:35" ht="15" customHeight="1" x14ac:dyDescent="0.25"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</row>
    <row r="70" spans="2:35" ht="15" customHeight="1" x14ac:dyDescent="0.25"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</row>
    <row r="71" spans="2:35" ht="15" customHeight="1" x14ac:dyDescent="0.25"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</row>
    <row r="72" spans="2:35" ht="15" customHeight="1" x14ac:dyDescent="0.25"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</row>
    <row r="73" spans="2:35" ht="15" customHeight="1" x14ac:dyDescent="0.25"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</row>
    <row r="74" spans="2:35" ht="15" customHeight="1" x14ac:dyDescent="0.25"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</row>
    <row r="75" spans="2:35" ht="15" customHeight="1" x14ac:dyDescent="0.25"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</row>
    <row r="76" spans="2:35" ht="15" customHeight="1" x14ac:dyDescent="0.25"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</row>
    <row r="77" spans="2:35" ht="15" customHeight="1" x14ac:dyDescent="0.25"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</row>
    <row r="78" spans="2:35" ht="15" customHeight="1" x14ac:dyDescent="0.25"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</row>
    <row r="79" spans="2:35" ht="15" customHeight="1" x14ac:dyDescent="0.25"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</row>
    <row r="80" spans="2:35" ht="15" customHeight="1" x14ac:dyDescent="0.25"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</row>
    <row r="81" spans="2:35" ht="15" customHeight="1" x14ac:dyDescent="0.25"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</row>
    <row r="82" spans="2:35" ht="15" customHeight="1" x14ac:dyDescent="0.25"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</row>
    <row r="83" spans="2:35" ht="15" customHeight="1" x14ac:dyDescent="0.25"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</row>
    <row r="84" spans="2:35" ht="15" customHeight="1" x14ac:dyDescent="0.25"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</row>
    <row r="85" spans="2:35" ht="15" customHeight="1" x14ac:dyDescent="0.25"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</row>
    <row r="86" spans="2:35" ht="15" customHeight="1" x14ac:dyDescent="0.25"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</row>
    <row r="87" spans="2:35" ht="15" customHeight="1" x14ac:dyDescent="0.25"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</row>
    <row r="88" spans="2:35" ht="15" customHeight="1" x14ac:dyDescent="0.25"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</row>
    <row r="89" spans="2:35" ht="15" customHeight="1" x14ac:dyDescent="0.25"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</row>
    <row r="90" spans="2:35" ht="15" customHeight="1" x14ac:dyDescent="0.25"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</row>
    <row r="91" spans="2:35" ht="15" customHeight="1" x14ac:dyDescent="0.25"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</row>
    <row r="92" spans="2:35" ht="15" customHeight="1" x14ac:dyDescent="0.25"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</row>
    <row r="93" spans="2:35" ht="15" customHeight="1" x14ac:dyDescent="0.25"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</row>
    <row r="94" spans="2:35" ht="15" customHeight="1" x14ac:dyDescent="0.25"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</row>
    <row r="95" spans="2:35" ht="15" customHeight="1" x14ac:dyDescent="0.25"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</row>
    <row r="96" spans="2:35" ht="15" customHeight="1" x14ac:dyDescent="0.25"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</row>
    <row r="97" spans="2:35" ht="15" customHeight="1" x14ac:dyDescent="0.25"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</row>
    <row r="98" spans="2:35" ht="15" customHeight="1" x14ac:dyDescent="0.25"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</row>
    <row r="99" spans="2:35" ht="15" customHeight="1" x14ac:dyDescent="0.25"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</row>
    <row r="100" spans="2:35" ht="15" customHeight="1" x14ac:dyDescent="0.25"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</row>
    <row r="101" spans="2:35" ht="15" customHeight="1" x14ac:dyDescent="0.25"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</row>
  </sheetData>
  <mergeCells count="1">
    <mergeCell ref="J1:K1"/>
  </mergeCells>
  <conditionalFormatting sqref="B1">
    <cfRule type="cellIs" dxfId="26" priority="1" operator="equal">
      <formula>"Incomplete"</formula>
    </cfRule>
    <cfRule type="cellIs" dxfId="25" priority="2" operator="equal">
      <formula>"Flag for Review"</formula>
    </cfRule>
    <cfRule type="cellIs" dxfId="24" priority="3" operator="equal">
      <formula>"Finished"</formula>
    </cfRule>
  </conditionalFormatting>
  <dataValidations count="1">
    <dataValidation type="list" allowBlank="1" showInputMessage="1" showErrorMessage="1" sqref="B1">
      <formula1>"Finished, Flag for Review, Incomplete"</formula1>
    </dataValidation>
  </dataValidations>
  <hyperlinks>
    <hyperlink ref="J1" location="'Point Grid'!A8" display="Return to Point Grid"/>
    <hyperlink ref="J1:K1" location="'Point Grid'!A1" display="Return to Point Grid"/>
  </hyperlink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AK101"/>
  <sheetViews>
    <sheetView zoomScaleNormal="100" workbookViewId="0"/>
  </sheetViews>
  <sheetFormatPr defaultColWidth="9.140625" defaultRowHeight="15" x14ac:dyDescent="0.25"/>
  <cols>
    <col min="1" max="1" width="9.140625" style="21"/>
    <col min="2" max="2" width="16" style="21" bestFit="1" customWidth="1"/>
    <col min="3" max="10" width="11.140625" style="21" customWidth="1"/>
    <col min="11" max="16384" width="9.140625" style="21"/>
  </cols>
  <sheetData>
    <row r="1" spans="1:37" x14ac:dyDescent="0.25">
      <c r="A1" s="7">
        <v>23</v>
      </c>
      <c r="B1" s="27" t="s">
        <v>12</v>
      </c>
      <c r="C1" s="20"/>
      <c r="D1" s="20"/>
      <c r="E1" s="20"/>
      <c r="F1" s="20"/>
      <c r="G1" s="20"/>
      <c r="H1" s="20"/>
      <c r="I1" s="384" t="s">
        <v>24</v>
      </c>
      <c r="J1" s="385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</row>
    <row r="2" spans="1:37" x14ac:dyDescent="0.25">
      <c r="A2" s="22"/>
      <c r="B2" s="19"/>
      <c r="C2" s="19"/>
      <c r="D2" s="19"/>
      <c r="E2" s="19"/>
      <c r="F2" s="19"/>
      <c r="G2" s="19"/>
      <c r="H2" s="19"/>
      <c r="I2" s="19"/>
      <c r="J2" s="23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</row>
    <row r="3" spans="1:37" x14ac:dyDescent="0.25">
      <c r="A3" s="8" t="s">
        <v>13</v>
      </c>
      <c r="B3" s="17"/>
      <c r="C3" s="17"/>
      <c r="D3" s="17"/>
      <c r="E3" s="17"/>
      <c r="F3" s="17"/>
      <c r="G3" s="17"/>
      <c r="H3" s="17"/>
      <c r="I3" s="17"/>
      <c r="J3" s="18"/>
      <c r="K3" s="31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</row>
    <row r="4" spans="1:37" x14ac:dyDescent="0.25">
      <c r="A4" s="9">
        <f>INDEX('Point Grid'!B:B,MATCH(A1,'Point Grid'!A:A,0))</f>
        <v>3</v>
      </c>
      <c r="B4" s="17"/>
      <c r="C4" s="17"/>
      <c r="D4" s="17"/>
      <c r="E4" s="17"/>
      <c r="F4" s="17"/>
      <c r="G4" s="17"/>
      <c r="H4" s="17"/>
      <c r="I4" s="17"/>
      <c r="J4" s="18"/>
      <c r="K4" s="31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</row>
    <row r="5" spans="1:37" x14ac:dyDescent="0.25">
      <c r="A5" s="16"/>
      <c r="B5" s="17"/>
      <c r="C5" s="17"/>
      <c r="D5" s="17"/>
      <c r="E5" s="17"/>
      <c r="F5" s="17"/>
      <c r="G5" s="17"/>
      <c r="H5" s="17"/>
      <c r="I5" s="17"/>
      <c r="J5" s="18"/>
      <c r="K5" s="31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</row>
    <row r="6" spans="1:37" ht="15" customHeight="1" x14ac:dyDescent="0.25">
      <c r="A6" s="25" t="s">
        <v>2</v>
      </c>
      <c r="B6" s="17" t="s">
        <v>317</v>
      </c>
      <c r="C6" s="17"/>
      <c r="D6" s="17"/>
      <c r="E6" s="17"/>
      <c r="F6" s="17"/>
      <c r="G6" s="17"/>
      <c r="H6" s="17"/>
      <c r="I6" s="17"/>
      <c r="J6" s="18"/>
      <c r="K6" s="31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</row>
    <row r="7" spans="1:37" ht="15" customHeight="1" thickBot="1" x14ac:dyDescent="0.3">
      <c r="A7" s="9">
        <f>INDEX('Point Grid'!$C$8:$I$54,MATCH($A$1,'Point Grid'!$A$8:$A$54,0),MATCH(A6,'Point Grid'!$C$7:$I$7,0))</f>
        <v>0.5</v>
      </c>
      <c r="B7" s="17" t="s">
        <v>318</v>
      </c>
      <c r="C7" s="17"/>
      <c r="D7" s="17"/>
      <c r="E7" s="17"/>
      <c r="F7" s="17"/>
      <c r="G7" s="17"/>
      <c r="H7" s="17"/>
      <c r="I7" s="17"/>
      <c r="J7" s="18"/>
      <c r="K7" s="31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</row>
    <row r="8" spans="1:37" ht="15.75" thickBot="1" x14ac:dyDescent="0.3">
      <c r="A8" s="5"/>
      <c r="B8" s="17"/>
      <c r="C8" s="28"/>
      <c r="D8" s="28"/>
      <c r="E8" s="28"/>
      <c r="F8" s="28"/>
      <c r="G8" s="28"/>
      <c r="H8" s="28"/>
      <c r="I8" s="28"/>
      <c r="J8" s="18"/>
      <c r="K8" s="31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</row>
    <row r="9" spans="1:37" x14ac:dyDescent="0.25">
      <c r="A9" s="25"/>
      <c r="B9" s="17"/>
      <c r="C9" s="17"/>
      <c r="D9" s="17"/>
      <c r="E9" s="17"/>
      <c r="F9" s="17"/>
      <c r="G9" s="17"/>
      <c r="H9" s="17"/>
      <c r="I9" s="17"/>
      <c r="J9" s="18"/>
      <c r="K9" s="31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</row>
    <row r="10" spans="1:37" x14ac:dyDescent="0.25">
      <c r="A10" s="25" t="s">
        <v>3</v>
      </c>
      <c r="B10" s="17" t="s">
        <v>319</v>
      </c>
      <c r="C10" s="17"/>
      <c r="D10" s="17"/>
      <c r="E10" s="17"/>
      <c r="F10" s="17"/>
      <c r="G10" s="17"/>
      <c r="H10" s="17"/>
      <c r="I10" s="17"/>
      <c r="J10" s="18"/>
      <c r="K10" s="31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</row>
    <row r="11" spans="1:37" ht="15.75" thickBot="1" x14ac:dyDescent="0.3">
      <c r="A11" s="9">
        <f>INDEX('Point Grid'!$C$8:$I$54,MATCH($A$1,'Point Grid'!$A$8:$A$54,0),MATCH(A10,'Point Grid'!$C$7:$I$7,0))</f>
        <v>1</v>
      </c>
      <c r="B11" s="17"/>
      <c r="C11" s="17"/>
      <c r="D11" s="17"/>
      <c r="E11" s="17"/>
      <c r="F11" s="17"/>
      <c r="G11" s="17"/>
      <c r="H11" s="17"/>
      <c r="I11" s="17"/>
      <c r="J11" s="18"/>
      <c r="K11" s="3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</row>
    <row r="12" spans="1:37" ht="15.75" thickBot="1" x14ac:dyDescent="0.3">
      <c r="A12" s="5"/>
      <c r="B12" s="17"/>
      <c r="C12" s="28"/>
      <c r="D12" s="28"/>
      <c r="E12" s="28"/>
      <c r="F12" s="28"/>
      <c r="G12" s="28"/>
      <c r="H12" s="28"/>
      <c r="I12" s="28"/>
      <c r="J12" s="18"/>
      <c r="K12" s="31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</row>
    <row r="13" spans="1:37" x14ac:dyDescent="0.25">
      <c r="A13" s="25"/>
      <c r="B13" s="17"/>
      <c r="C13" s="28"/>
      <c r="D13" s="28"/>
      <c r="E13" s="28"/>
      <c r="F13" s="28"/>
      <c r="G13" s="28"/>
      <c r="H13" s="28"/>
      <c r="I13" s="28"/>
      <c r="J13" s="18"/>
      <c r="K13" s="31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</row>
    <row r="14" spans="1:37" x14ac:dyDescent="0.25">
      <c r="A14" s="25" t="s">
        <v>4</v>
      </c>
      <c r="B14" s="116" t="s">
        <v>302</v>
      </c>
      <c r="C14" s="116"/>
      <c r="D14" s="280" t="s">
        <v>290</v>
      </c>
      <c r="E14" s="166" t="s">
        <v>303</v>
      </c>
      <c r="F14" s="281">
        <v>2025</v>
      </c>
      <c r="G14" s="116" t="s">
        <v>321</v>
      </c>
      <c r="H14" s="116"/>
      <c r="I14" s="116"/>
      <c r="J14" s="18"/>
      <c r="K14" s="31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</row>
    <row r="15" spans="1:37" ht="15.75" thickBot="1" x14ac:dyDescent="0.3">
      <c r="A15" s="9">
        <f>INDEX('Point Grid'!$C$8:$I$54,MATCH($A$1,'Point Grid'!$A$8:$A$54,0),MATCH(A14,'Point Grid'!$C$7:$I$7,0))</f>
        <v>1.5</v>
      </c>
      <c r="B15" s="116"/>
      <c r="C15" s="116"/>
      <c r="D15" s="116"/>
      <c r="E15" s="116"/>
      <c r="F15" s="116"/>
      <c r="G15" s="116"/>
      <c r="H15" s="116"/>
      <c r="I15" s="116"/>
      <c r="J15" s="18"/>
      <c r="K15" s="31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</row>
    <row r="16" spans="1:37" ht="15.75" thickBot="1" x14ac:dyDescent="0.3">
      <c r="A16" s="5"/>
      <c r="B16" s="116"/>
      <c r="C16" s="116"/>
      <c r="D16" s="116"/>
      <c r="E16" s="116"/>
      <c r="F16" s="116"/>
      <c r="G16" s="116"/>
      <c r="H16" s="116"/>
      <c r="I16" s="116"/>
      <c r="J16" s="18"/>
      <c r="K16" s="31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</row>
    <row r="17" spans="1:37" x14ac:dyDescent="0.25">
      <c r="A17" s="22"/>
      <c r="B17" s="262"/>
      <c r="C17" s="263"/>
      <c r="D17" s="263"/>
      <c r="E17" s="254" t="s">
        <v>165</v>
      </c>
      <c r="F17" s="166"/>
      <c r="G17" s="166"/>
      <c r="H17" s="166"/>
      <c r="I17" s="116"/>
      <c r="J17" s="18"/>
      <c r="K17" s="31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</row>
    <row r="18" spans="1:37" ht="15" customHeight="1" x14ac:dyDescent="0.25">
      <c r="A18" s="22"/>
      <c r="B18" s="264"/>
      <c r="C18" s="265"/>
      <c r="D18" s="265"/>
      <c r="E18" s="266" t="s">
        <v>166</v>
      </c>
      <c r="F18" s="267"/>
      <c r="G18" s="267"/>
      <c r="H18" s="267"/>
      <c r="I18" s="116"/>
      <c r="J18" s="18"/>
      <c r="K18" s="31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</row>
    <row r="19" spans="1:37" ht="15" customHeight="1" x14ac:dyDescent="0.25">
      <c r="A19" s="22"/>
      <c r="B19" s="268" t="s">
        <v>73</v>
      </c>
      <c r="C19" s="269" t="s">
        <v>320</v>
      </c>
      <c r="D19" s="269" t="s">
        <v>322</v>
      </c>
      <c r="E19" s="270" t="s">
        <v>323</v>
      </c>
      <c r="F19" s="166"/>
      <c r="G19" s="222" t="s">
        <v>282</v>
      </c>
      <c r="H19" s="271" t="s">
        <v>301</v>
      </c>
      <c r="I19" s="116"/>
      <c r="J19" s="18"/>
      <c r="K19" s="31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</row>
    <row r="20" spans="1:37" ht="15" customHeight="1" x14ac:dyDescent="0.25">
      <c r="A20" s="22"/>
      <c r="B20" s="272">
        <v>2023</v>
      </c>
      <c r="C20" s="273">
        <v>6400</v>
      </c>
      <c r="D20" s="274">
        <v>2.1</v>
      </c>
      <c r="E20" s="275">
        <v>1.0795209999999997</v>
      </c>
      <c r="F20" s="116"/>
      <c r="G20" s="272">
        <v>2023</v>
      </c>
      <c r="H20" s="276">
        <v>17280</v>
      </c>
      <c r="I20" s="116"/>
      <c r="J20" s="18"/>
      <c r="K20" s="31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</row>
    <row r="21" spans="1:37" ht="15" customHeight="1" x14ac:dyDescent="0.25">
      <c r="A21" s="22"/>
      <c r="B21" s="272">
        <v>2024</v>
      </c>
      <c r="C21" s="273">
        <v>4000</v>
      </c>
      <c r="D21" s="274">
        <v>3.9</v>
      </c>
      <c r="E21" s="275">
        <v>1.0389999999999999</v>
      </c>
      <c r="F21" s="116"/>
      <c r="G21" s="272">
        <v>2024</v>
      </c>
      <c r="H21" s="276">
        <v>16400</v>
      </c>
      <c r="I21" s="116"/>
      <c r="J21" s="18"/>
      <c r="K21" s="3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</row>
    <row r="22" spans="1:37" ht="15" customHeight="1" x14ac:dyDescent="0.25">
      <c r="A22" s="22"/>
      <c r="B22" s="277">
        <v>2025</v>
      </c>
      <c r="C22" s="269">
        <v>1600</v>
      </c>
      <c r="D22" s="278">
        <v>5.4</v>
      </c>
      <c r="E22" s="279">
        <v>1</v>
      </c>
      <c r="F22" s="116"/>
      <c r="G22" s="277">
        <v>2025</v>
      </c>
      <c r="H22" s="270">
        <v>12640</v>
      </c>
      <c r="I22" s="116"/>
      <c r="J22" s="18"/>
      <c r="K22" s="31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</row>
    <row r="23" spans="1:37" ht="15" customHeight="1" x14ac:dyDescent="0.25">
      <c r="A23" s="22"/>
      <c r="B23" s="17"/>
      <c r="C23" s="17"/>
      <c r="D23" s="17"/>
      <c r="E23" s="17"/>
      <c r="F23" s="17"/>
      <c r="G23" s="17"/>
      <c r="H23" s="17"/>
      <c r="I23" s="17"/>
      <c r="J23" s="18"/>
      <c r="K23" s="31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</row>
    <row r="24" spans="1:37" ht="15" customHeight="1" x14ac:dyDescent="0.25">
      <c r="A24" s="22"/>
      <c r="B24" s="282" t="s">
        <v>324</v>
      </c>
      <c r="C24" s="17"/>
      <c r="D24" s="17"/>
      <c r="E24" s="17"/>
      <c r="F24" s="17"/>
      <c r="G24" s="17"/>
      <c r="H24" s="17"/>
      <c r="I24" s="17"/>
      <c r="J24" s="18"/>
      <c r="K24" s="31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</row>
    <row r="25" spans="1:37" ht="15" customHeight="1" x14ac:dyDescent="0.25">
      <c r="A25" s="22"/>
      <c r="B25" s="282" t="s">
        <v>325</v>
      </c>
      <c r="C25" s="17"/>
      <c r="D25" s="17"/>
      <c r="E25" s="17"/>
      <c r="F25" s="17"/>
      <c r="G25" s="17"/>
      <c r="H25" s="17"/>
      <c r="I25" s="17"/>
      <c r="J25" s="18"/>
      <c r="K25" s="31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</row>
    <row r="26" spans="1:37" ht="15" customHeight="1" x14ac:dyDescent="0.25">
      <c r="A26" s="22"/>
      <c r="B26" s="17"/>
      <c r="C26" s="17"/>
      <c r="D26" s="17"/>
      <c r="E26" s="17"/>
      <c r="F26" s="17"/>
      <c r="G26" s="17"/>
      <c r="H26" s="17"/>
      <c r="I26" s="17"/>
      <c r="J26" s="18"/>
      <c r="K26" s="31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</row>
    <row r="27" spans="1:37" ht="15" customHeight="1" x14ac:dyDescent="0.25">
      <c r="A27" s="22"/>
      <c r="B27" s="17"/>
      <c r="C27" s="17"/>
      <c r="D27" s="17"/>
      <c r="E27" s="17"/>
      <c r="F27" s="17"/>
      <c r="G27" s="17"/>
      <c r="H27" s="17"/>
      <c r="I27" s="17"/>
      <c r="J27" s="18"/>
      <c r="K27" s="31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</row>
    <row r="28" spans="1:37" ht="15" customHeight="1" x14ac:dyDescent="0.25">
      <c r="A28" s="22"/>
      <c r="B28" s="17"/>
      <c r="C28" s="17"/>
      <c r="D28" s="17"/>
      <c r="E28" s="17"/>
      <c r="F28" s="17"/>
      <c r="G28" s="17"/>
      <c r="H28" s="17"/>
      <c r="I28" s="17"/>
      <c r="J28" s="18"/>
      <c r="K28" s="31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</row>
    <row r="29" spans="1:37" ht="15" customHeight="1" x14ac:dyDescent="0.25">
      <c r="A29" s="22"/>
      <c r="B29" s="17"/>
      <c r="C29" s="17"/>
      <c r="D29" s="17"/>
      <c r="E29" s="17"/>
      <c r="F29" s="17"/>
      <c r="G29" s="17"/>
      <c r="H29" s="17"/>
      <c r="I29" s="17"/>
      <c r="J29" s="18"/>
      <c r="K29" s="31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</row>
    <row r="30" spans="1:37" ht="15" customHeight="1" thickBot="1" x14ac:dyDescent="0.3">
      <c r="A30" s="24"/>
      <c r="B30" s="32"/>
      <c r="C30" s="32"/>
      <c r="D30" s="32"/>
      <c r="E30" s="32"/>
      <c r="F30" s="32"/>
      <c r="G30" s="32"/>
      <c r="H30" s="32"/>
      <c r="I30" s="32"/>
      <c r="J30" s="33"/>
      <c r="K30" s="31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</row>
    <row r="31" spans="1:37" ht="15" customHeight="1" x14ac:dyDescent="0.25">
      <c r="B31" s="31"/>
      <c r="C31" s="31"/>
      <c r="D31" s="31"/>
      <c r="E31" s="31"/>
      <c r="F31" s="31"/>
      <c r="G31" s="31"/>
      <c r="H31" s="31"/>
      <c r="I31" s="31"/>
      <c r="J31" s="31"/>
      <c r="K31" s="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</row>
    <row r="32" spans="1:37" ht="15" customHeight="1" x14ac:dyDescent="0.25">
      <c r="K32" s="31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</row>
    <row r="33" spans="2:37" ht="15" customHeight="1" x14ac:dyDescent="0.25">
      <c r="K33" s="31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</row>
    <row r="34" spans="2:37" ht="15" customHeight="1" x14ac:dyDescent="0.25">
      <c r="K34" s="31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</row>
    <row r="35" spans="2:37" ht="15" customHeight="1" x14ac:dyDescent="0.25">
      <c r="K35" s="31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</row>
    <row r="36" spans="2:37" ht="15" customHeight="1" x14ac:dyDescent="0.25">
      <c r="K36" s="31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</row>
    <row r="37" spans="2:37" ht="15" customHeight="1" x14ac:dyDescent="0.25">
      <c r="K37" s="31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</row>
    <row r="38" spans="2:37" ht="15" customHeight="1" x14ac:dyDescent="0.25">
      <c r="K38" s="31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</row>
    <row r="39" spans="2:37" ht="15" customHeight="1" x14ac:dyDescent="0.25">
      <c r="K39" s="31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</row>
    <row r="40" spans="2:37" ht="15" customHeight="1" x14ac:dyDescent="0.25">
      <c r="K40" s="31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</row>
    <row r="41" spans="2:37" ht="15" customHeight="1" x14ac:dyDescent="0.25">
      <c r="K41" s="3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</row>
    <row r="42" spans="2:37" ht="15" customHeight="1" x14ac:dyDescent="0.25">
      <c r="K42" s="31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</row>
    <row r="43" spans="2:37" ht="15" customHeight="1" x14ac:dyDescent="0.25">
      <c r="K43" s="31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</row>
    <row r="44" spans="2:37" ht="15" customHeight="1" x14ac:dyDescent="0.25">
      <c r="K44" s="31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</row>
    <row r="45" spans="2:37" ht="15" customHeight="1" x14ac:dyDescent="0.25">
      <c r="K45" s="31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</row>
    <row r="46" spans="2:37" ht="15" customHeight="1" x14ac:dyDescent="0.25">
      <c r="B46" s="31"/>
      <c r="C46" s="31"/>
      <c r="D46" s="31"/>
      <c r="E46" s="31"/>
      <c r="F46" s="31"/>
      <c r="G46" s="31"/>
      <c r="H46" s="31"/>
      <c r="I46" s="31"/>
      <c r="J46" s="31"/>
      <c r="K46" s="31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</row>
    <row r="47" spans="2:37" ht="15" customHeight="1" x14ac:dyDescent="0.25">
      <c r="B47" s="31"/>
      <c r="C47" s="31"/>
      <c r="D47" s="31"/>
      <c r="E47" s="31"/>
      <c r="F47" s="31"/>
      <c r="G47" s="31"/>
      <c r="H47" s="31"/>
      <c r="I47" s="31"/>
      <c r="J47" s="31"/>
      <c r="K47" s="31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</row>
    <row r="48" spans="2:37" ht="15" customHeight="1" x14ac:dyDescent="0.25">
      <c r="B48" s="31"/>
      <c r="C48" s="31"/>
      <c r="D48" s="31"/>
      <c r="E48" s="31"/>
      <c r="F48" s="31"/>
      <c r="G48" s="31"/>
      <c r="H48" s="31"/>
      <c r="I48" s="31"/>
      <c r="J48" s="31"/>
      <c r="K48" s="31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</row>
    <row r="49" spans="2:37" ht="15" customHeight="1" x14ac:dyDescent="0.25">
      <c r="B49" s="31"/>
      <c r="C49" s="31"/>
      <c r="D49" s="31"/>
      <c r="E49" s="31"/>
      <c r="F49" s="31"/>
      <c r="G49" s="31"/>
      <c r="H49" s="31"/>
      <c r="I49" s="31"/>
      <c r="J49" s="31"/>
      <c r="K49" s="31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</row>
    <row r="50" spans="2:37" ht="15" customHeight="1" x14ac:dyDescent="0.25">
      <c r="B50" s="31"/>
      <c r="C50" s="31"/>
      <c r="D50" s="31"/>
      <c r="E50" s="31"/>
      <c r="F50" s="31"/>
      <c r="G50" s="31"/>
      <c r="H50" s="31"/>
      <c r="I50" s="31"/>
      <c r="J50" s="31"/>
      <c r="K50" s="31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</row>
    <row r="51" spans="2:37" ht="15" customHeight="1" x14ac:dyDescent="0.25">
      <c r="B51" s="31"/>
      <c r="C51" s="31"/>
      <c r="D51" s="31"/>
      <c r="E51" s="31"/>
      <c r="F51" s="31"/>
      <c r="G51" s="31"/>
      <c r="H51" s="31"/>
      <c r="I51" s="31"/>
      <c r="J51" s="31"/>
      <c r="K51" s="3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</row>
    <row r="52" spans="2:37" ht="15" customHeight="1" x14ac:dyDescent="0.25">
      <c r="B52" s="31"/>
      <c r="C52" s="31"/>
      <c r="D52" s="31"/>
      <c r="E52" s="31"/>
      <c r="F52" s="31"/>
      <c r="G52" s="31"/>
      <c r="H52" s="31"/>
      <c r="I52" s="31"/>
      <c r="J52" s="31"/>
      <c r="K52" s="31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</row>
    <row r="53" spans="2:37" ht="15" customHeight="1" x14ac:dyDescent="0.25">
      <c r="B53" s="31"/>
      <c r="C53" s="31"/>
      <c r="D53" s="31"/>
      <c r="E53" s="31"/>
      <c r="F53" s="31"/>
      <c r="G53" s="31"/>
      <c r="H53" s="31"/>
      <c r="I53" s="31"/>
      <c r="J53" s="31"/>
      <c r="K53" s="31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</row>
    <row r="54" spans="2:37" ht="15" customHeight="1" x14ac:dyDescent="0.25">
      <c r="B54" s="31"/>
      <c r="C54" s="31"/>
      <c r="D54" s="31"/>
      <c r="E54" s="31"/>
      <c r="F54" s="31"/>
      <c r="G54" s="31"/>
      <c r="H54" s="31"/>
      <c r="I54" s="31"/>
      <c r="J54" s="31"/>
      <c r="K54" s="31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</row>
    <row r="55" spans="2:37" ht="15" customHeight="1" x14ac:dyDescent="0.25">
      <c r="B55" s="31"/>
      <c r="C55" s="31"/>
      <c r="D55" s="31"/>
      <c r="E55" s="31"/>
      <c r="F55" s="31"/>
      <c r="G55" s="31"/>
      <c r="H55" s="31"/>
      <c r="I55" s="31"/>
      <c r="J55" s="31"/>
      <c r="K55" s="31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</row>
    <row r="56" spans="2:37" ht="15" customHeight="1" x14ac:dyDescent="0.25">
      <c r="B56" s="31"/>
      <c r="C56" s="31"/>
      <c r="D56" s="31"/>
      <c r="E56" s="31"/>
      <c r="F56" s="31"/>
      <c r="G56" s="31"/>
      <c r="H56" s="31"/>
      <c r="I56" s="31"/>
      <c r="J56" s="31"/>
      <c r="K56" s="31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</row>
    <row r="57" spans="2:37" ht="15" customHeight="1" x14ac:dyDescent="0.25">
      <c r="B57" s="31"/>
      <c r="C57" s="31"/>
      <c r="D57" s="31"/>
      <c r="E57" s="31"/>
      <c r="F57" s="31"/>
      <c r="G57" s="31"/>
      <c r="H57" s="31"/>
      <c r="I57" s="31"/>
      <c r="J57" s="31"/>
      <c r="K57" s="31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</row>
    <row r="58" spans="2:37" ht="15" customHeight="1" x14ac:dyDescent="0.25">
      <c r="B58" s="31"/>
      <c r="C58" s="31"/>
      <c r="D58" s="31"/>
      <c r="E58" s="31"/>
      <c r="F58" s="31"/>
      <c r="G58" s="31"/>
      <c r="H58" s="31"/>
      <c r="I58" s="31"/>
      <c r="J58" s="31"/>
      <c r="K58" s="31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</row>
    <row r="59" spans="2:37" ht="15" customHeight="1" x14ac:dyDescent="0.25">
      <c r="B59" s="31"/>
      <c r="C59" s="31"/>
      <c r="D59" s="31"/>
      <c r="E59" s="31"/>
      <c r="F59" s="31"/>
      <c r="G59" s="31"/>
      <c r="H59" s="31"/>
      <c r="I59" s="31"/>
      <c r="J59" s="31"/>
      <c r="K59" s="31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</row>
    <row r="60" spans="2:37" ht="15" customHeight="1" x14ac:dyDescent="0.25">
      <c r="B60" s="31"/>
      <c r="C60" s="31"/>
      <c r="D60" s="31"/>
      <c r="E60" s="31"/>
      <c r="F60" s="31"/>
      <c r="G60" s="31"/>
      <c r="H60" s="31"/>
      <c r="I60" s="31"/>
      <c r="J60" s="31"/>
      <c r="K60" s="31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</row>
    <row r="61" spans="2:37" ht="15" customHeight="1" x14ac:dyDescent="0.25">
      <c r="B61" s="31"/>
      <c r="C61" s="31"/>
      <c r="D61" s="31"/>
      <c r="E61" s="31"/>
      <c r="F61" s="31"/>
      <c r="G61" s="31"/>
      <c r="H61" s="31"/>
      <c r="I61" s="31"/>
      <c r="J61" s="31"/>
      <c r="K61" s="3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</row>
    <row r="62" spans="2:37" ht="15" customHeight="1" x14ac:dyDescent="0.25">
      <c r="B62" s="31"/>
      <c r="C62" s="31"/>
      <c r="D62" s="31"/>
      <c r="E62" s="31"/>
      <c r="F62" s="31"/>
      <c r="G62" s="31"/>
      <c r="H62" s="31"/>
      <c r="I62" s="31"/>
      <c r="J62" s="31"/>
      <c r="K62" s="31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</row>
    <row r="63" spans="2:37" ht="15" customHeight="1" x14ac:dyDescent="0.25">
      <c r="B63" s="31"/>
      <c r="C63" s="31"/>
      <c r="D63" s="31"/>
      <c r="E63" s="31"/>
      <c r="F63" s="31"/>
      <c r="G63" s="31"/>
      <c r="H63" s="31"/>
      <c r="I63" s="31"/>
      <c r="J63" s="31"/>
      <c r="K63" s="31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</row>
    <row r="64" spans="2:37" ht="15" customHeight="1" x14ac:dyDescent="0.25">
      <c r="B64" s="31"/>
      <c r="C64" s="31"/>
      <c r="D64" s="31"/>
      <c r="E64" s="31"/>
      <c r="F64" s="31"/>
      <c r="G64" s="31"/>
      <c r="H64" s="31"/>
      <c r="I64" s="31"/>
      <c r="J64" s="31"/>
      <c r="K64" s="31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</row>
    <row r="65" spans="2:37" ht="15" customHeight="1" x14ac:dyDescent="0.25">
      <c r="B65" s="31"/>
      <c r="C65" s="31"/>
      <c r="D65" s="31"/>
      <c r="E65" s="31"/>
      <c r="F65" s="31"/>
      <c r="G65" s="31"/>
      <c r="H65" s="31"/>
      <c r="I65" s="31"/>
      <c r="J65" s="31"/>
      <c r="K65" s="31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</row>
    <row r="66" spans="2:37" ht="15" customHeight="1" x14ac:dyDescent="0.25">
      <c r="B66" s="31"/>
      <c r="C66" s="31"/>
      <c r="D66" s="31"/>
      <c r="E66" s="31"/>
      <c r="F66" s="31"/>
      <c r="G66" s="31"/>
      <c r="H66" s="31"/>
      <c r="I66" s="31"/>
      <c r="J66" s="31"/>
      <c r="K66" s="31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</row>
    <row r="67" spans="2:37" ht="15" customHeight="1" x14ac:dyDescent="0.25">
      <c r="B67" s="31"/>
      <c r="C67" s="31"/>
      <c r="D67" s="31"/>
      <c r="E67" s="31"/>
      <c r="F67" s="31"/>
      <c r="G67" s="31"/>
      <c r="H67" s="31"/>
      <c r="I67" s="31"/>
      <c r="J67" s="31"/>
      <c r="K67" s="31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</row>
    <row r="68" spans="2:37" ht="15" customHeight="1" x14ac:dyDescent="0.25">
      <c r="B68" s="31"/>
      <c r="C68" s="31"/>
      <c r="D68" s="31"/>
      <c r="E68" s="31"/>
      <c r="F68" s="31"/>
      <c r="G68" s="31"/>
      <c r="H68" s="31"/>
      <c r="I68" s="31"/>
      <c r="J68" s="31"/>
      <c r="K68" s="31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</row>
    <row r="69" spans="2:37" ht="15" customHeight="1" x14ac:dyDescent="0.25">
      <c r="B69" s="31"/>
      <c r="C69" s="31"/>
      <c r="D69" s="31"/>
      <c r="E69" s="31"/>
      <c r="F69" s="31"/>
      <c r="G69" s="31"/>
      <c r="H69" s="31"/>
      <c r="I69" s="31"/>
      <c r="J69" s="31"/>
      <c r="K69" s="31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</row>
    <row r="70" spans="2:37" ht="15" customHeight="1" x14ac:dyDescent="0.25">
      <c r="B70" s="31"/>
      <c r="C70" s="31"/>
      <c r="D70" s="31"/>
      <c r="E70" s="31"/>
      <c r="F70" s="31"/>
      <c r="G70" s="31"/>
      <c r="H70" s="31"/>
      <c r="I70" s="31"/>
      <c r="J70" s="31"/>
      <c r="K70" s="31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</row>
    <row r="71" spans="2:37" ht="15" customHeight="1" x14ac:dyDescent="0.25">
      <c r="B71" s="31"/>
      <c r="C71" s="31"/>
      <c r="D71" s="31"/>
      <c r="E71" s="31"/>
      <c r="F71" s="31"/>
      <c r="G71" s="31"/>
      <c r="H71" s="31"/>
      <c r="I71" s="31"/>
      <c r="J71" s="31"/>
      <c r="K71" s="3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</row>
    <row r="72" spans="2:37" ht="15" customHeight="1" x14ac:dyDescent="0.25">
      <c r="B72" s="31"/>
      <c r="C72" s="31"/>
      <c r="D72" s="31"/>
      <c r="E72" s="31"/>
      <c r="F72" s="31"/>
      <c r="G72" s="31"/>
      <c r="H72" s="31"/>
      <c r="I72" s="31"/>
      <c r="J72" s="31"/>
      <c r="K72" s="31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</row>
    <row r="73" spans="2:37" ht="15" customHeight="1" x14ac:dyDescent="0.25">
      <c r="B73" s="31"/>
      <c r="C73" s="31"/>
      <c r="D73" s="31"/>
      <c r="E73" s="31"/>
      <c r="F73" s="31"/>
      <c r="G73" s="31"/>
      <c r="H73" s="31"/>
      <c r="I73" s="31"/>
      <c r="J73" s="31"/>
      <c r="K73" s="31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</row>
    <row r="74" spans="2:37" ht="15" customHeight="1" x14ac:dyDescent="0.25">
      <c r="B74" s="31"/>
      <c r="C74" s="31"/>
      <c r="D74" s="31"/>
      <c r="E74" s="31"/>
      <c r="F74" s="31"/>
      <c r="G74" s="31"/>
      <c r="H74" s="31"/>
      <c r="I74" s="31"/>
      <c r="J74" s="31"/>
      <c r="K74" s="31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</row>
    <row r="75" spans="2:37" ht="15" customHeight="1" x14ac:dyDescent="0.25">
      <c r="B75" s="31"/>
      <c r="C75" s="31"/>
      <c r="D75" s="31"/>
      <c r="E75" s="31"/>
      <c r="F75" s="31"/>
      <c r="G75" s="31"/>
      <c r="H75" s="31"/>
      <c r="I75" s="31"/>
      <c r="J75" s="31"/>
      <c r="K75" s="31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</row>
    <row r="76" spans="2:37" ht="15" customHeight="1" x14ac:dyDescent="0.25">
      <c r="B76" s="31"/>
      <c r="C76" s="31"/>
      <c r="D76" s="31"/>
      <c r="E76" s="31"/>
      <c r="F76" s="31"/>
      <c r="G76" s="31"/>
      <c r="H76" s="31"/>
      <c r="I76" s="31"/>
      <c r="J76" s="31"/>
      <c r="K76" s="31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</row>
    <row r="77" spans="2:37" ht="15" customHeight="1" x14ac:dyDescent="0.25">
      <c r="B77" s="31"/>
      <c r="C77" s="31"/>
      <c r="D77" s="31"/>
      <c r="E77" s="31"/>
      <c r="F77" s="31"/>
      <c r="G77" s="31"/>
      <c r="H77" s="31"/>
      <c r="I77" s="31"/>
      <c r="J77" s="31"/>
      <c r="K77" s="31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</row>
    <row r="78" spans="2:37" ht="15" customHeight="1" x14ac:dyDescent="0.25">
      <c r="B78" s="31"/>
      <c r="C78" s="31"/>
      <c r="D78" s="31"/>
      <c r="E78" s="31"/>
      <c r="F78" s="31"/>
      <c r="G78" s="31"/>
      <c r="H78" s="31"/>
      <c r="I78" s="31"/>
      <c r="J78" s="31"/>
      <c r="K78" s="31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</row>
    <row r="79" spans="2:37" ht="15" customHeight="1" x14ac:dyDescent="0.25">
      <c r="B79" s="31"/>
      <c r="C79" s="31"/>
      <c r="D79" s="31"/>
      <c r="E79" s="31"/>
      <c r="F79" s="31"/>
      <c r="G79" s="31"/>
      <c r="H79" s="31"/>
      <c r="I79" s="31"/>
      <c r="J79" s="31"/>
      <c r="K79" s="31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</row>
    <row r="80" spans="2:37" ht="15" customHeight="1" x14ac:dyDescent="0.25">
      <c r="B80" s="31"/>
      <c r="C80" s="31"/>
      <c r="D80" s="31"/>
      <c r="E80" s="31"/>
      <c r="F80" s="31"/>
      <c r="G80" s="31"/>
      <c r="H80" s="31"/>
      <c r="I80" s="31"/>
      <c r="J80" s="31"/>
      <c r="K80" s="31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</row>
    <row r="81" spans="2:37" ht="15" customHeight="1" x14ac:dyDescent="0.25">
      <c r="B81" s="31"/>
      <c r="C81" s="31"/>
      <c r="D81" s="31"/>
      <c r="E81" s="31"/>
      <c r="F81" s="31"/>
      <c r="G81" s="31"/>
      <c r="H81" s="31"/>
      <c r="I81" s="31"/>
      <c r="J81" s="31"/>
      <c r="K81" s="3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</row>
    <row r="82" spans="2:37" ht="15" customHeight="1" x14ac:dyDescent="0.25">
      <c r="B82" s="31"/>
      <c r="C82" s="31"/>
      <c r="D82" s="31"/>
      <c r="E82" s="31"/>
      <c r="F82" s="31"/>
      <c r="G82" s="31"/>
      <c r="H82" s="31"/>
      <c r="I82" s="31"/>
      <c r="J82" s="31"/>
      <c r="K82" s="31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</row>
    <row r="83" spans="2:37" ht="15" customHeight="1" x14ac:dyDescent="0.25">
      <c r="B83" s="31"/>
      <c r="C83" s="31"/>
      <c r="D83" s="31"/>
      <c r="E83" s="31"/>
      <c r="F83" s="31"/>
      <c r="G83" s="31"/>
      <c r="H83" s="31"/>
      <c r="I83" s="31"/>
      <c r="J83" s="31"/>
      <c r="K83" s="31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</row>
    <row r="84" spans="2:37" ht="15" customHeight="1" x14ac:dyDescent="0.25">
      <c r="B84" s="31"/>
      <c r="C84" s="31"/>
      <c r="D84" s="31"/>
      <c r="E84" s="31"/>
      <c r="F84" s="31"/>
      <c r="G84" s="31"/>
      <c r="H84" s="31"/>
      <c r="I84" s="31"/>
      <c r="J84" s="31"/>
      <c r="K84" s="31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</row>
    <row r="85" spans="2:37" ht="15" customHeight="1" x14ac:dyDescent="0.25">
      <c r="B85" s="31"/>
      <c r="C85" s="31"/>
      <c r="D85" s="31"/>
      <c r="E85" s="31"/>
      <c r="F85" s="31"/>
      <c r="G85" s="31"/>
      <c r="H85" s="31"/>
      <c r="I85" s="31"/>
      <c r="J85" s="31"/>
      <c r="K85" s="31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</row>
    <row r="86" spans="2:37" ht="15" customHeight="1" x14ac:dyDescent="0.25">
      <c r="B86" s="31"/>
      <c r="C86" s="31"/>
      <c r="D86" s="31"/>
      <c r="E86" s="31"/>
      <c r="F86" s="31"/>
      <c r="G86" s="31"/>
      <c r="H86" s="31"/>
      <c r="I86" s="31"/>
      <c r="J86" s="31"/>
      <c r="K86" s="31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</row>
    <row r="87" spans="2:37" ht="15" customHeight="1" x14ac:dyDescent="0.25">
      <c r="B87" s="31"/>
      <c r="C87" s="31"/>
      <c r="D87" s="31"/>
      <c r="E87" s="31"/>
      <c r="F87" s="31"/>
      <c r="G87" s="31"/>
      <c r="H87" s="31"/>
      <c r="I87" s="31"/>
      <c r="J87" s="31"/>
      <c r="K87" s="31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</row>
    <row r="88" spans="2:37" ht="15" customHeight="1" x14ac:dyDescent="0.25">
      <c r="B88" s="31"/>
      <c r="C88" s="31"/>
      <c r="D88" s="31"/>
      <c r="E88" s="31"/>
      <c r="F88" s="31"/>
      <c r="G88" s="31"/>
      <c r="H88" s="31"/>
      <c r="I88" s="31"/>
      <c r="J88" s="31"/>
      <c r="K88" s="31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</row>
    <row r="89" spans="2:37" ht="15" customHeight="1" x14ac:dyDescent="0.25">
      <c r="B89" s="31"/>
      <c r="C89" s="31"/>
      <c r="D89" s="31"/>
      <c r="E89" s="31"/>
      <c r="F89" s="31"/>
      <c r="G89" s="31"/>
      <c r="H89" s="31"/>
      <c r="I89" s="31"/>
      <c r="J89" s="31"/>
      <c r="K89" s="31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</row>
    <row r="90" spans="2:37" ht="15" customHeight="1" x14ac:dyDescent="0.25">
      <c r="B90" s="31"/>
      <c r="C90" s="31"/>
      <c r="D90" s="31"/>
      <c r="E90" s="31"/>
      <c r="F90" s="31"/>
      <c r="G90" s="31"/>
      <c r="H90" s="31"/>
      <c r="I90" s="31"/>
      <c r="J90" s="31"/>
      <c r="K90" s="31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</row>
    <row r="91" spans="2:37" ht="15" customHeight="1" x14ac:dyDescent="0.25">
      <c r="B91" s="31"/>
      <c r="C91" s="31"/>
      <c r="D91" s="31"/>
      <c r="E91" s="31"/>
      <c r="F91" s="31"/>
      <c r="G91" s="31"/>
      <c r="H91" s="31"/>
      <c r="I91" s="31"/>
      <c r="J91" s="31"/>
      <c r="K91" s="3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</row>
    <row r="92" spans="2:37" ht="15" customHeight="1" x14ac:dyDescent="0.25">
      <c r="B92" s="31"/>
      <c r="C92" s="31"/>
      <c r="D92" s="31"/>
      <c r="E92" s="31"/>
      <c r="F92" s="31"/>
      <c r="G92" s="31"/>
      <c r="H92" s="31"/>
      <c r="I92" s="31"/>
      <c r="J92" s="31"/>
      <c r="K92" s="31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</row>
    <row r="93" spans="2:37" ht="15" customHeight="1" x14ac:dyDescent="0.25">
      <c r="B93" s="31"/>
      <c r="C93" s="31"/>
      <c r="D93" s="31"/>
      <c r="E93" s="31"/>
      <c r="F93" s="31"/>
      <c r="G93" s="31"/>
      <c r="H93" s="31"/>
      <c r="I93" s="31"/>
      <c r="J93" s="31"/>
      <c r="K93" s="31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</row>
    <row r="94" spans="2:37" ht="15" customHeight="1" x14ac:dyDescent="0.25">
      <c r="B94" s="31"/>
      <c r="C94" s="31"/>
      <c r="D94" s="31"/>
      <c r="E94" s="31"/>
      <c r="F94" s="31"/>
      <c r="G94" s="31"/>
      <c r="H94" s="31"/>
      <c r="I94" s="31"/>
      <c r="J94" s="31"/>
      <c r="K94" s="31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</row>
    <row r="95" spans="2:37" ht="15" customHeight="1" x14ac:dyDescent="0.25">
      <c r="B95" s="31"/>
      <c r="C95" s="31"/>
      <c r="D95" s="31"/>
      <c r="E95" s="31"/>
      <c r="F95" s="31"/>
      <c r="G95" s="31"/>
      <c r="H95" s="31"/>
      <c r="I95" s="31"/>
      <c r="J95" s="31"/>
      <c r="K95" s="31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</row>
    <row r="96" spans="2:37" ht="15" customHeight="1" x14ac:dyDescent="0.25">
      <c r="B96" s="31"/>
      <c r="C96" s="31"/>
      <c r="D96" s="31"/>
      <c r="E96" s="31"/>
      <c r="F96" s="31"/>
      <c r="G96" s="31"/>
      <c r="H96" s="31"/>
      <c r="I96" s="31"/>
      <c r="J96" s="31"/>
      <c r="K96" s="31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</row>
    <row r="97" spans="2:37" ht="15" customHeight="1" x14ac:dyDescent="0.25">
      <c r="B97" s="31"/>
      <c r="C97" s="31"/>
      <c r="D97" s="31"/>
      <c r="E97" s="31"/>
      <c r="F97" s="31"/>
      <c r="G97" s="31"/>
      <c r="H97" s="31"/>
      <c r="I97" s="31"/>
      <c r="J97" s="31"/>
      <c r="K97" s="31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</row>
    <row r="98" spans="2:37" ht="15" customHeight="1" x14ac:dyDescent="0.25">
      <c r="B98" s="31"/>
      <c r="C98" s="31"/>
      <c r="D98" s="31"/>
      <c r="E98" s="31"/>
      <c r="F98" s="31"/>
      <c r="G98" s="31"/>
      <c r="H98" s="31"/>
      <c r="I98" s="31"/>
      <c r="J98" s="31"/>
      <c r="K98" s="31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</row>
    <row r="99" spans="2:37" ht="15" customHeight="1" x14ac:dyDescent="0.25">
      <c r="B99" s="31"/>
      <c r="C99" s="31"/>
      <c r="D99" s="31"/>
      <c r="E99" s="31"/>
      <c r="F99" s="31"/>
      <c r="G99" s="31"/>
      <c r="H99" s="31"/>
      <c r="I99" s="31"/>
      <c r="J99" s="31"/>
      <c r="K99" s="31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</row>
    <row r="100" spans="2:37" ht="15" customHeight="1" x14ac:dyDescent="0.25"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</row>
    <row r="101" spans="2:37" ht="15" customHeight="1" x14ac:dyDescent="0.25"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</row>
  </sheetData>
  <mergeCells count="1">
    <mergeCell ref="I1:J1"/>
  </mergeCells>
  <conditionalFormatting sqref="B1">
    <cfRule type="cellIs" dxfId="23" priority="1" operator="equal">
      <formula>"Incomplete"</formula>
    </cfRule>
    <cfRule type="cellIs" dxfId="22" priority="2" operator="equal">
      <formula>"Flag for Review"</formula>
    </cfRule>
    <cfRule type="cellIs" dxfId="21" priority="3" operator="equal">
      <formula>"Finished"</formula>
    </cfRule>
  </conditionalFormatting>
  <dataValidations count="1">
    <dataValidation type="list" allowBlank="1" showInputMessage="1" showErrorMessage="1" sqref="B1">
      <formula1>"Finished, Flag for Review, Incomplete"</formula1>
    </dataValidation>
  </dataValidations>
  <hyperlinks>
    <hyperlink ref="I1" location="'Point Grid'!A8" display="Return to Point Grid"/>
    <hyperlink ref="I1:J1" location="'Point Grid'!A1" display="Return to Point Grid"/>
  </hyperlink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AG101"/>
  <sheetViews>
    <sheetView zoomScaleNormal="100" workbookViewId="0"/>
  </sheetViews>
  <sheetFormatPr defaultColWidth="9.140625" defaultRowHeight="15" x14ac:dyDescent="0.25"/>
  <cols>
    <col min="1" max="1" width="9.140625" style="21"/>
    <col min="2" max="2" width="16" style="21" bestFit="1" customWidth="1"/>
    <col min="3" max="9" width="11.140625" style="21" customWidth="1"/>
    <col min="10" max="16" width="9.140625" style="21"/>
    <col min="17" max="17" width="10" style="21" bestFit="1" customWidth="1"/>
    <col min="18" max="19" width="9.140625" style="21"/>
    <col min="20" max="20" width="9.5703125" style="21" bestFit="1" customWidth="1"/>
    <col min="21" max="21" width="9.140625" style="21"/>
    <col min="22" max="22" width="9.140625" style="21" customWidth="1"/>
    <col min="23" max="16384" width="9.140625" style="21"/>
  </cols>
  <sheetData>
    <row r="1" spans="1:33" x14ac:dyDescent="0.25">
      <c r="A1" s="7">
        <v>24</v>
      </c>
      <c r="B1" s="27" t="s">
        <v>12</v>
      </c>
      <c r="C1" s="20"/>
      <c r="D1" s="20"/>
      <c r="E1" s="20"/>
      <c r="F1" s="20"/>
      <c r="G1" s="20"/>
      <c r="H1" s="384" t="s">
        <v>24</v>
      </c>
      <c r="I1" s="385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</row>
    <row r="2" spans="1:33" x14ac:dyDescent="0.25">
      <c r="A2" s="22"/>
      <c r="B2" s="19"/>
      <c r="C2" s="19"/>
      <c r="D2" s="19"/>
      <c r="E2" s="19"/>
      <c r="F2" s="19"/>
      <c r="G2" s="19"/>
      <c r="H2" s="19"/>
      <c r="I2" s="23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</row>
    <row r="3" spans="1:33" x14ac:dyDescent="0.25">
      <c r="A3" s="8" t="s">
        <v>13</v>
      </c>
      <c r="B3" s="17"/>
      <c r="C3" s="17"/>
      <c r="D3" s="17"/>
      <c r="E3" s="17"/>
      <c r="F3" s="17"/>
      <c r="G3" s="17"/>
      <c r="H3" s="17"/>
      <c r="I3" s="18"/>
      <c r="J3" s="31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</row>
    <row r="4" spans="1:33" x14ac:dyDescent="0.25">
      <c r="A4" s="9">
        <f>INDEX('Point Grid'!B:B,MATCH(A1,'Point Grid'!A:A,0))</f>
        <v>4.5</v>
      </c>
      <c r="B4" s="17"/>
      <c r="C4" s="17"/>
      <c r="D4" s="17"/>
      <c r="E4" s="17"/>
      <c r="F4" s="17"/>
      <c r="G4" s="17"/>
      <c r="H4" s="17"/>
      <c r="I4" s="18"/>
      <c r="J4" s="31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</row>
    <row r="5" spans="1:33" x14ac:dyDescent="0.25">
      <c r="A5" s="16"/>
      <c r="B5" s="17"/>
      <c r="C5" s="17"/>
      <c r="D5" s="17"/>
      <c r="E5" s="17"/>
      <c r="F5" s="17"/>
      <c r="G5" s="17"/>
      <c r="H5" s="17"/>
      <c r="I5" s="18"/>
      <c r="J5" s="31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</row>
    <row r="6" spans="1:33" x14ac:dyDescent="0.25">
      <c r="A6" s="25" t="s">
        <v>2</v>
      </c>
      <c r="B6" s="17" t="s">
        <v>326</v>
      </c>
      <c r="C6" s="17"/>
      <c r="D6" s="17"/>
      <c r="E6" s="17"/>
      <c r="F6" s="17"/>
      <c r="G6" s="17"/>
      <c r="H6" s="17"/>
      <c r="I6" s="18"/>
      <c r="J6" s="31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</row>
    <row r="7" spans="1:33" ht="15.75" thickBot="1" x14ac:dyDescent="0.3">
      <c r="A7" s="9">
        <f>INDEX('Point Grid'!$C$8:$I$54,MATCH($A$1,'Point Grid'!$A$8:$A$54,0),MATCH(A6,'Point Grid'!$C$7:$I$7,0))</f>
        <v>1</v>
      </c>
      <c r="B7" s="17" t="s">
        <v>327</v>
      </c>
      <c r="C7" s="17"/>
      <c r="D7" s="17"/>
      <c r="E7" s="17"/>
      <c r="F7" s="17"/>
      <c r="G7" s="17"/>
      <c r="H7" s="17"/>
      <c r="I7" s="18"/>
      <c r="J7" s="31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</row>
    <row r="8" spans="1:33" ht="15.75" thickBot="1" x14ac:dyDescent="0.3">
      <c r="A8" s="5"/>
      <c r="B8" s="17"/>
      <c r="C8" s="28"/>
      <c r="D8" s="28"/>
      <c r="E8" s="28"/>
      <c r="F8" s="28"/>
      <c r="G8" s="28"/>
      <c r="H8" s="28"/>
      <c r="I8" s="18"/>
      <c r="J8" s="31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</row>
    <row r="9" spans="1:33" x14ac:dyDescent="0.25">
      <c r="A9" s="25"/>
      <c r="B9" s="17"/>
      <c r="C9" s="17"/>
      <c r="D9" s="17"/>
      <c r="E9" s="17"/>
      <c r="F9" s="17"/>
      <c r="G9" s="17"/>
      <c r="H9" s="17"/>
      <c r="I9" s="18"/>
      <c r="J9" s="31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</row>
    <row r="10" spans="1:33" x14ac:dyDescent="0.25">
      <c r="A10" s="25" t="s">
        <v>3</v>
      </c>
      <c r="B10" s="17" t="s">
        <v>337</v>
      </c>
      <c r="C10" s="17"/>
      <c r="D10" s="17"/>
      <c r="E10" s="17"/>
      <c r="F10" s="17"/>
      <c r="G10" s="17"/>
      <c r="H10" s="17"/>
      <c r="I10" s="18"/>
      <c r="J10" s="31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</row>
    <row r="11" spans="1:33" ht="15.75" thickBot="1" x14ac:dyDescent="0.3">
      <c r="A11" s="9">
        <f>INDEX('Point Grid'!$C$8:$I$54,MATCH($A$1,'Point Grid'!$A$8:$A$54,0),MATCH(A10,'Point Grid'!$C$7:$I$7,0))</f>
        <v>1</v>
      </c>
      <c r="B11" s="17"/>
      <c r="C11" s="17"/>
      <c r="D11" s="17"/>
      <c r="E11" s="17"/>
      <c r="F11" s="17"/>
      <c r="G11" s="17"/>
      <c r="H11" s="17"/>
      <c r="I11" s="18"/>
      <c r="J11" s="3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</row>
    <row r="12" spans="1:33" ht="15.75" thickBot="1" x14ac:dyDescent="0.3">
      <c r="A12" s="5"/>
      <c r="B12" s="17"/>
      <c r="C12" s="28"/>
      <c r="D12" s="28"/>
      <c r="E12" s="28"/>
      <c r="F12" s="28"/>
      <c r="G12" s="28"/>
      <c r="H12" s="28"/>
      <c r="I12" s="18"/>
      <c r="J12" s="31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</row>
    <row r="13" spans="1:33" x14ac:dyDescent="0.25">
      <c r="A13" s="25"/>
      <c r="B13" s="17"/>
      <c r="C13" s="28"/>
      <c r="D13" s="28"/>
      <c r="E13" s="28"/>
      <c r="F13" s="28"/>
      <c r="G13" s="28"/>
      <c r="H13" s="28"/>
      <c r="I13" s="18"/>
      <c r="J13" s="31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</row>
    <row r="14" spans="1:33" x14ac:dyDescent="0.25">
      <c r="A14" s="25" t="s">
        <v>4</v>
      </c>
      <c r="B14" s="17" t="s">
        <v>333</v>
      </c>
      <c r="C14" s="17"/>
      <c r="D14" s="17"/>
      <c r="E14" s="17"/>
      <c r="F14" s="17"/>
      <c r="G14" s="17"/>
      <c r="H14" s="17"/>
      <c r="I14" s="18"/>
      <c r="J14" s="31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</row>
    <row r="15" spans="1:33" ht="15.75" thickBot="1" x14ac:dyDescent="0.3">
      <c r="A15" s="9">
        <f>INDEX('Point Grid'!$C$8:$I$54,MATCH($A$1,'Point Grid'!$A$8:$A$54,0),MATCH(A14,'Point Grid'!$C$7:$I$7,0))</f>
        <v>2.5</v>
      </c>
      <c r="B15" s="17"/>
      <c r="C15" s="17"/>
      <c r="D15" s="17"/>
      <c r="E15" s="17"/>
      <c r="F15" s="17"/>
      <c r="G15" s="17"/>
      <c r="H15" s="17"/>
      <c r="I15" s="18"/>
      <c r="J15" s="31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</row>
    <row r="16" spans="1:33" ht="15.75" thickBot="1" x14ac:dyDescent="0.3">
      <c r="A16" s="5"/>
      <c r="B16" s="283" t="s">
        <v>334</v>
      </c>
      <c r="C16" s="283"/>
      <c r="D16" s="17"/>
      <c r="E16" s="302">
        <v>3419</v>
      </c>
      <c r="F16" s="200"/>
      <c r="G16" s="17"/>
      <c r="H16" s="17"/>
      <c r="I16" s="18"/>
      <c r="J16" s="31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</row>
    <row r="17" spans="1:33" x14ac:dyDescent="0.25">
      <c r="A17" s="22"/>
      <c r="B17" s="17"/>
      <c r="C17" s="17"/>
      <c r="D17" s="17"/>
      <c r="E17" s="17"/>
      <c r="F17" s="17"/>
      <c r="G17" s="17"/>
      <c r="H17" s="17"/>
      <c r="I17" s="18"/>
      <c r="J17" s="31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</row>
    <row r="18" spans="1:33" ht="15" customHeight="1" x14ac:dyDescent="0.25">
      <c r="A18" s="22"/>
      <c r="B18" s="295" t="s">
        <v>73</v>
      </c>
      <c r="C18" s="286" t="s">
        <v>328</v>
      </c>
      <c r="D18" s="287" t="s">
        <v>74</v>
      </c>
      <c r="E18" s="286" t="s">
        <v>290</v>
      </c>
      <c r="F18" s="287" t="s">
        <v>290</v>
      </c>
      <c r="G18" s="17"/>
      <c r="H18" s="17"/>
      <c r="I18" s="18"/>
      <c r="J18" s="31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</row>
    <row r="19" spans="1:33" ht="15" customHeight="1" x14ac:dyDescent="0.25">
      <c r="A19" s="22"/>
      <c r="B19" s="296"/>
      <c r="C19" s="291"/>
      <c r="D19" s="294" t="s">
        <v>329</v>
      </c>
      <c r="E19" s="291" t="s">
        <v>41</v>
      </c>
      <c r="F19" s="294" t="s">
        <v>211</v>
      </c>
      <c r="G19" s="17"/>
      <c r="H19" s="17"/>
      <c r="I19" s="18"/>
      <c r="J19" s="31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</row>
    <row r="20" spans="1:33" ht="15" customHeight="1" x14ac:dyDescent="0.25">
      <c r="A20" s="22"/>
      <c r="B20" s="297">
        <v>2022</v>
      </c>
      <c r="C20" s="285">
        <v>61000</v>
      </c>
      <c r="D20" s="288">
        <v>3170</v>
      </c>
      <c r="E20" s="284">
        <v>850</v>
      </c>
      <c r="F20" s="288">
        <v>2620</v>
      </c>
      <c r="G20" s="17"/>
      <c r="H20" s="17"/>
      <c r="I20" s="18"/>
      <c r="J20" s="31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</row>
    <row r="21" spans="1:33" ht="15" customHeight="1" x14ac:dyDescent="0.25">
      <c r="A21" s="22"/>
      <c r="B21" s="297">
        <v>2023</v>
      </c>
      <c r="C21" s="285">
        <v>67900</v>
      </c>
      <c r="D21" s="288">
        <v>2100</v>
      </c>
      <c r="E21" s="284">
        <v>950</v>
      </c>
      <c r="F21" s="288">
        <v>2900</v>
      </c>
      <c r="G21" s="17"/>
      <c r="H21" s="17"/>
      <c r="I21" s="18"/>
      <c r="J21" s="3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</row>
    <row r="22" spans="1:33" ht="15" customHeight="1" x14ac:dyDescent="0.25">
      <c r="A22" s="22"/>
      <c r="B22" s="297">
        <v>2024</v>
      </c>
      <c r="C22" s="285">
        <v>67800</v>
      </c>
      <c r="D22" s="288">
        <v>1400</v>
      </c>
      <c r="E22" s="284">
        <v>970</v>
      </c>
      <c r="F22" s="289" t="s">
        <v>330</v>
      </c>
      <c r="G22" s="17"/>
      <c r="H22" s="17"/>
      <c r="I22" s="18"/>
      <c r="J22" s="31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</row>
    <row r="23" spans="1:33" ht="15" customHeight="1" x14ac:dyDescent="0.25">
      <c r="A23" s="22"/>
      <c r="B23" s="298">
        <v>2025</v>
      </c>
      <c r="C23" s="290">
        <v>71900</v>
      </c>
      <c r="D23" s="294">
        <v>900</v>
      </c>
      <c r="E23" s="292" t="s">
        <v>330</v>
      </c>
      <c r="F23" s="293" t="s">
        <v>330</v>
      </c>
      <c r="G23" s="17"/>
      <c r="H23" s="17"/>
      <c r="I23" s="18"/>
      <c r="J23" s="31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</row>
    <row r="24" spans="1:33" ht="15" customHeight="1" x14ac:dyDescent="0.25">
      <c r="A24" s="22"/>
      <c r="B24" s="17"/>
      <c r="C24" s="17"/>
      <c r="D24" s="17"/>
      <c r="E24" s="17"/>
      <c r="F24" s="17"/>
      <c r="G24" s="17"/>
      <c r="H24" s="17"/>
      <c r="I24" s="18"/>
      <c r="J24" s="31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</row>
    <row r="25" spans="1:33" ht="15" customHeight="1" x14ac:dyDescent="0.25">
      <c r="A25" s="22"/>
      <c r="B25" s="295" t="s">
        <v>331</v>
      </c>
      <c r="C25" s="287" t="s">
        <v>332</v>
      </c>
      <c r="D25" s="287" t="s">
        <v>211</v>
      </c>
      <c r="E25" s="17"/>
      <c r="F25" s="17"/>
      <c r="G25" s="17"/>
      <c r="H25" s="17"/>
      <c r="I25" s="18"/>
      <c r="J25" s="31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</row>
    <row r="26" spans="1:33" ht="15" customHeight="1" x14ac:dyDescent="0.25">
      <c r="A26" s="22"/>
      <c r="B26" s="296" t="s">
        <v>323</v>
      </c>
      <c r="C26" s="294" t="s">
        <v>323</v>
      </c>
      <c r="D26" s="294" t="s">
        <v>323</v>
      </c>
      <c r="E26" s="17"/>
      <c r="F26" s="17"/>
      <c r="G26" s="17"/>
      <c r="H26" s="17"/>
      <c r="I26" s="18"/>
      <c r="J26" s="31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</row>
    <row r="27" spans="1:33" ht="15" customHeight="1" x14ac:dyDescent="0.25">
      <c r="A27" s="22"/>
      <c r="B27" s="299">
        <v>0.03</v>
      </c>
      <c r="C27" s="300">
        <v>0.02</v>
      </c>
      <c r="D27" s="300">
        <v>0.09</v>
      </c>
      <c r="E27" s="17"/>
      <c r="F27" s="17"/>
      <c r="G27" s="17"/>
      <c r="H27" s="17"/>
      <c r="I27" s="18"/>
      <c r="J27" s="31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</row>
    <row r="28" spans="1:33" ht="15" customHeight="1" x14ac:dyDescent="0.25">
      <c r="A28" s="22"/>
      <c r="B28" s="301"/>
      <c r="C28" s="115"/>
      <c r="D28" s="115"/>
      <c r="E28" s="17"/>
      <c r="F28" s="17"/>
      <c r="G28" s="17"/>
      <c r="H28" s="17"/>
      <c r="I28" s="18"/>
      <c r="J28" s="31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</row>
    <row r="29" spans="1:33" ht="15" customHeight="1" x14ac:dyDescent="0.25">
      <c r="A29" s="22"/>
      <c r="B29" s="301" t="s">
        <v>335</v>
      </c>
      <c r="C29" s="115"/>
      <c r="D29" s="115"/>
      <c r="E29" s="17"/>
      <c r="F29" s="17"/>
      <c r="G29" s="17"/>
      <c r="H29" s="17"/>
      <c r="I29" s="18"/>
      <c r="J29" s="31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</row>
    <row r="30" spans="1:33" ht="15" customHeight="1" x14ac:dyDescent="0.25">
      <c r="A30" s="22"/>
      <c r="B30" s="301" t="s">
        <v>336</v>
      </c>
      <c r="C30" s="17"/>
      <c r="D30" s="17"/>
      <c r="E30" s="17"/>
      <c r="F30" s="17"/>
      <c r="G30" s="17"/>
      <c r="H30" s="17"/>
      <c r="I30" s="18"/>
      <c r="J30" s="31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</row>
    <row r="31" spans="1:33" ht="15" customHeight="1" x14ac:dyDescent="0.25">
      <c r="A31" s="22"/>
      <c r="B31" s="17"/>
      <c r="C31" s="17"/>
      <c r="D31" s="17"/>
      <c r="E31" s="17"/>
      <c r="F31" s="17"/>
      <c r="G31" s="17"/>
      <c r="H31" s="17"/>
      <c r="I31" s="18"/>
      <c r="J31" s="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</row>
    <row r="32" spans="1:33" ht="15" customHeight="1" x14ac:dyDescent="0.25">
      <c r="A32" s="22"/>
      <c r="B32" s="17"/>
      <c r="C32" s="17"/>
      <c r="D32" s="17"/>
      <c r="E32" s="17"/>
      <c r="F32" s="17"/>
      <c r="G32" s="17"/>
      <c r="H32" s="17"/>
      <c r="I32" s="18"/>
      <c r="J32" s="31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</row>
    <row r="33" spans="1:33" ht="15" customHeight="1" x14ac:dyDescent="0.25">
      <c r="A33" s="22"/>
      <c r="B33" s="17"/>
      <c r="C33" s="17"/>
      <c r="D33" s="17"/>
      <c r="E33" s="17"/>
      <c r="F33" s="17"/>
      <c r="G33" s="17"/>
      <c r="H33" s="17"/>
      <c r="I33" s="18"/>
      <c r="J33" s="31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</row>
    <row r="34" spans="1:33" ht="15" customHeight="1" x14ac:dyDescent="0.25">
      <c r="A34" s="22"/>
      <c r="B34" s="17"/>
      <c r="C34" s="17"/>
      <c r="D34" s="17"/>
      <c r="E34" s="17"/>
      <c r="F34" s="17"/>
      <c r="G34" s="17"/>
      <c r="H34" s="17"/>
      <c r="I34" s="18"/>
      <c r="J34" s="31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</row>
    <row r="35" spans="1:33" ht="15" customHeight="1" x14ac:dyDescent="0.25">
      <c r="A35" s="22"/>
      <c r="B35" s="17"/>
      <c r="C35" s="17"/>
      <c r="D35" s="17"/>
      <c r="E35" s="17"/>
      <c r="F35" s="17"/>
      <c r="G35" s="17"/>
      <c r="H35" s="17"/>
      <c r="I35" s="18"/>
      <c r="J35" s="31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</row>
    <row r="36" spans="1:33" ht="15" customHeight="1" x14ac:dyDescent="0.25">
      <c r="A36" s="22"/>
      <c r="B36" s="17"/>
      <c r="C36" s="17"/>
      <c r="D36" s="17"/>
      <c r="E36" s="17"/>
      <c r="F36" s="17"/>
      <c r="G36" s="17"/>
      <c r="H36" s="17"/>
      <c r="I36" s="18"/>
      <c r="J36" s="31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</row>
    <row r="37" spans="1:33" ht="15" customHeight="1" thickBot="1" x14ac:dyDescent="0.3">
      <c r="A37" s="24"/>
      <c r="B37" s="32"/>
      <c r="C37" s="32"/>
      <c r="D37" s="32"/>
      <c r="E37" s="32"/>
      <c r="F37" s="32"/>
      <c r="G37" s="32"/>
      <c r="H37" s="32"/>
      <c r="I37" s="33"/>
      <c r="J37" s="31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</row>
    <row r="38" spans="1:33" ht="15" customHeight="1" x14ac:dyDescent="0.25">
      <c r="J38" s="31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</row>
    <row r="39" spans="1:33" ht="15" customHeight="1" x14ac:dyDescent="0.25">
      <c r="J39" s="31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</row>
    <row r="40" spans="1:33" ht="15" customHeight="1" x14ac:dyDescent="0.25">
      <c r="J40" s="31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</row>
    <row r="41" spans="1:33" ht="15" customHeight="1" x14ac:dyDescent="0.25">
      <c r="J41" s="3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</row>
    <row r="42" spans="1:33" ht="15" customHeight="1" x14ac:dyDescent="0.25">
      <c r="J42" s="31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</row>
    <row r="43" spans="1:33" ht="15" customHeight="1" x14ac:dyDescent="0.25">
      <c r="J43" s="31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</row>
    <row r="44" spans="1:33" ht="15" customHeight="1" x14ac:dyDescent="0.25">
      <c r="J44" s="31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</row>
    <row r="45" spans="1:33" ht="15" customHeight="1" x14ac:dyDescent="0.25">
      <c r="J45" s="31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</row>
    <row r="46" spans="1:33" ht="15" customHeight="1" x14ac:dyDescent="0.25">
      <c r="B46" s="31"/>
      <c r="C46" s="31"/>
      <c r="D46" s="31"/>
      <c r="E46" s="31"/>
      <c r="F46" s="31"/>
      <c r="G46" s="31"/>
      <c r="H46" s="31"/>
      <c r="I46" s="31"/>
      <c r="J46" s="31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</row>
    <row r="47" spans="1:33" ht="15" customHeight="1" x14ac:dyDescent="0.25">
      <c r="B47" s="31"/>
      <c r="C47" s="31"/>
      <c r="D47" s="31"/>
      <c r="E47" s="31"/>
      <c r="F47" s="31"/>
      <c r="G47" s="31"/>
      <c r="H47" s="31"/>
      <c r="I47" s="31"/>
      <c r="J47" s="31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</row>
    <row r="48" spans="1:33" ht="15" customHeight="1" x14ac:dyDescent="0.25">
      <c r="B48" s="31"/>
      <c r="C48" s="31"/>
      <c r="D48" s="31"/>
      <c r="E48" s="31"/>
      <c r="F48" s="31"/>
      <c r="G48" s="31"/>
      <c r="H48" s="31"/>
      <c r="I48" s="31"/>
      <c r="J48" s="31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</row>
    <row r="49" spans="2:33" ht="15" customHeight="1" x14ac:dyDescent="0.25">
      <c r="B49" s="31"/>
      <c r="C49" s="31"/>
      <c r="D49" s="31"/>
      <c r="E49" s="31"/>
      <c r="F49" s="31"/>
      <c r="G49" s="31"/>
      <c r="H49" s="31"/>
      <c r="I49" s="31"/>
      <c r="J49" s="31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</row>
    <row r="50" spans="2:33" ht="15" customHeight="1" x14ac:dyDescent="0.25">
      <c r="B50" s="31"/>
      <c r="C50" s="31"/>
      <c r="D50" s="31"/>
      <c r="E50" s="31"/>
      <c r="F50" s="31"/>
      <c r="G50" s="31"/>
      <c r="H50" s="31"/>
      <c r="I50" s="31"/>
      <c r="J50" s="31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</row>
    <row r="51" spans="2:33" ht="15" customHeight="1" x14ac:dyDescent="0.25">
      <c r="B51" s="31"/>
      <c r="C51" s="31"/>
      <c r="D51" s="31"/>
      <c r="E51" s="31"/>
      <c r="F51" s="31"/>
      <c r="G51" s="31"/>
      <c r="H51" s="31"/>
      <c r="I51" s="31"/>
      <c r="J51" s="3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</row>
    <row r="52" spans="2:33" ht="15" customHeight="1" x14ac:dyDescent="0.25">
      <c r="B52" s="31"/>
      <c r="C52" s="31"/>
      <c r="D52" s="31"/>
      <c r="E52" s="31"/>
      <c r="F52" s="31"/>
      <c r="G52" s="31"/>
      <c r="H52" s="31"/>
      <c r="I52" s="31"/>
      <c r="J52" s="31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</row>
    <row r="53" spans="2:33" ht="15" customHeight="1" x14ac:dyDescent="0.25">
      <c r="B53" s="31"/>
      <c r="C53" s="31"/>
      <c r="D53" s="31"/>
      <c r="E53" s="31"/>
      <c r="F53" s="31"/>
      <c r="G53" s="31"/>
      <c r="H53" s="31"/>
      <c r="I53" s="31"/>
      <c r="J53" s="31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</row>
    <row r="54" spans="2:33" ht="15" customHeight="1" x14ac:dyDescent="0.25">
      <c r="B54" s="31"/>
      <c r="C54" s="31"/>
      <c r="D54" s="31"/>
      <c r="E54" s="31"/>
      <c r="F54" s="31"/>
      <c r="G54" s="31"/>
      <c r="H54" s="31"/>
      <c r="I54" s="31"/>
      <c r="J54" s="31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</row>
    <row r="55" spans="2:33" ht="15" customHeight="1" x14ac:dyDescent="0.25">
      <c r="B55" s="31"/>
      <c r="C55" s="31"/>
      <c r="D55" s="31"/>
      <c r="E55" s="31"/>
      <c r="F55" s="31"/>
      <c r="G55" s="31"/>
      <c r="H55" s="31"/>
      <c r="I55" s="31"/>
      <c r="J55" s="31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</row>
    <row r="56" spans="2:33" ht="15" customHeight="1" x14ac:dyDescent="0.25">
      <c r="B56" s="31"/>
      <c r="C56" s="31"/>
      <c r="D56" s="31"/>
      <c r="E56" s="31"/>
      <c r="F56" s="31"/>
      <c r="G56" s="31"/>
      <c r="H56" s="31"/>
      <c r="I56" s="31"/>
      <c r="J56" s="31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</row>
    <row r="57" spans="2:33" ht="15" customHeight="1" x14ac:dyDescent="0.25">
      <c r="B57" s="31"/>
      <c r="C57" s="31"/>
      <c r="D57" s="31"/>
      <c r="E57" s="31"/>
      <c r="F57" s="31"/>
      <c r="G57" s="31"/>
      <c r="H57" s="31"/>
      <c r="I57" s="31"/>
      <c r="J57" s="31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</row>
    <row r="58" spans="2:33" ht="15" customHeight="1" x14ac:dyDescent="0.25">
      <c r="B58" s="31"/>
      <c r="C58" s="31"/>
      <c r="D58" s="31"/>
      <c r="E58" s="31"/>
      <c r="F58" s="31"/>
      <c r="G58" s="31"/>
      <c r="H58" s="31"/>
      <c r="I58" s="31"/>
      <c r="J58" s="31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</row>
    <row r="59" spans="2:33" ht="15" customHeight="1" x14ac:dyDescent="0.25">
      <c r="B59" s="31"/>
      <c r="C59" s="31"/>
      <c r="D59" s="31"/>
      <c r="E59" s="31"/>
      <c r="F59" s="31"/>
      <c r="G59" s="31"/>
      <c r="H59" s="31"/>
      <c r="I59" s="31"/>
      <c r="J59" s="31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</row>
    <row r="60" spans="2:33" ht="15" customHeight="1" x14ac:dyDescent="0.25">
      <c r="B60" s="31"/>
      <c r="C60" s="31"/>
      <c r="D60" s="31"/>
      <c r="E60" s="31"/>
      <c r="F60" s="31"/>
      <c r="G60" s="31"/>
      <c r="H60" s="31"/>
      <c r="I60" s="31"/>
      <c r="J60" s="31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</row>
    <row r="61" spans="2:33" ht="15" customHeight="1" x14ac:dyDescent="0.25">
      <c r="B61" s="31"/>
      <c r="C61" s="31"/>
      <c r="D61" s="31"/>
      <c r="E61" s="31"/>
      <c r="F61" s="31"/>
      <c r="G61" s="31"/>
      <c r="H61" s="31"/>
      <c r="I61" s="31"/>
      <c r="J61" s="3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</row>
    <row r="62" spans="2:33" ht="15" customHeight="1" x14ac:dyDescent="0.25">
      <c r="B62" s="31"/>
      <c r="C62" s="31"/>
      <c r="D62" s="31"/>
      <c r="E62" s="31"/>
      <c r="F62" s="31"/>
      <c r="G62" s="31"/>
      <c r="H62" s="31"/>
      <c r="I62" s="31"/>
      <c r="J62" s="31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</row>
    <row r="63" spans="2:33" ht="15" customHeight="1" x14ac:dyDescent="0.25">
      <c r="B63" s="31"/>
      <c r="C63" s="31"/>
      <c r="D63" s="31"/>
      <c r="E63" s="31"/>
      <c r="F63" s="31"/>
      <c r="G63" s="31"/>
      <c r="H63" s="31"/>
      <c r="I63" s="31"/>
      <c r="J63" s="31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</row>
    <row r="64" spans="2:33" ht="15" customHeight="1" x14ac:dyDescent="0.25">
      <c r="B64" s="31"/>
      <c r="C64" s="31"/>
      <c r="D64" s="31"/>
      <c r="E64" s="31"/>
      <c r="F64" s="31"/>
      <c r="G64" s="31"/>
      <c r="H64" s="31"/>
      <c r="I64" s="31"/>
      <c r="J64" s="31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</row>
    <row r="65" spans="2:33" ht="15" customHeight="1" x14ac:dyDescent="0.25">
      <c r="B65" s="31"/>
      <c r="C65" s="31"/>
      <c r="D65" s="31"/>
      <c r="E65" s="31"/>
      <c r="F65" s="31"/>
      <c r="G65" s="31"/>
      <c r="H65" s="31"/>
      <c r="I65" s="31"/>
      <c r="J65" s="31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</row>
    <row r="66" spans="2:33" ht="15" customHeight="1" x14ac:dyDescent="0.25">
      <c r="B66" s="31"/>
      <c r="C66" s="31"/>
      <c r="D66" s="31"/>
      <c r="E66" s="31"/>
      <c r="F66" s="31"/>
      <c r="G66" s="31"/>
      <c r="H66" s="31"/>
      <c r="I66" s="31"/>
      <c r="J66" s="31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</row>
    <row r="67" spans="2:33" ht="15" customHeight="1" x14ac:dyDescent="0.25">
      <c r="B67" s="31"/>
      <c r="C67" s="31"/>
      <c r="D67" s="31"/>
      <c r="E67" s="31"/>
      <c r="F67" s="31"/>
      <c r="G67" s="31"/>
      <c r="H67" s="31"/>
      <c r="I67" s="31"/>
      <c r="J67" s="31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</row>
    <row r="68" spans="2:33" ht="15" customHeight="1" x14ac:dyDescent="0.25">
      <c r="B68" s="31"/>
      <c r="C68" s="31"/>
      <c r="D68" s="31"/>
      <c r="E68" s="31"/>
      <c r="F68" s="31"/>
      <c r="G68" s="31"/>
      <c r="H68" s="31"/>
      <c r="I68" s="31"/>
      <c r="J68" s="31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</row>
    <row r="69" spans="2:33" ht="15" customHeight="1" x14ac:dyDescent="0.25">
      <c r="B69" s="31"/>
      <c r="C69" s="31"/>
      <c r="D69" s="31"/>
      <c r="E69" s="31"/>
      <c r="F69" s="31"/>
      <c r="G69" s="31"/>
      <c r="H69" s="31"/>
      <c r="I69" s="31"/>
      <c r="J69" s="31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</row>
    <row r="70" spans="2:33" ht="15" customHeight="1" x14ac:dyDescent="0.25">
      <c r="B70" s="31"/>
      <c r="C70" s="31"/>
      <c r="D70" s="31"/>
      <c r="E70" s="31"/>
      <c r="F70" s="31"/>
      <c r="G70" s="31"/>
      <c r="H70" s="31"/>
      <c r="I70" s="31"/>
      <c r="J70" s="31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</row>
    <row r="71" spans="2:33" ht="15" customHeight="1" x14ac:dyDescent="0.25">
      <c r="B71" s="31"/>
      <c r="C71" s="31"/>
      <c r="D71" s="31"/>
      <c r="E71" s="31"/>
      <c r="F71" s="31"/>
      <c r="G71" s="31"/>
      <c r="H71" s="31"/>
      <c r="I71" s="31"/>
      <c r="J71" s="3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</row>
    <row r="72" spans="2:33" ht="15" customHeight="1" x14ac:dyDescent="0.25">
      <c r="B72" s="31"/>
      <c r="C72" s="31"/>
      <c r="D72" s="31"/>
      <c r="E72" s="31"/>
      <c r="F72" s="31"/>
      <c r="G72" s="31"/>
      <c r="H72" s="31"/>
      <c r="I72" s="31"/>
      <c r="J72" s="31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</row>
    <row r="73" spans="2:33" ht="15" customHeight="1" x14ac:dyDescent="0.25">
      <c r="B73" s="31"/>
      <c r="C73" s="31"/>
      <c r="D73" s="31"/>
      <c r="E73" s="31"/>
      <c r="F73" s="31"/>
      <c r="G73" s="31"/>
      <c r="H73" s="31"/>
      <c r="I73" s="31"/>
      <c r="J73" s="31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</row>
    <row r="74" spans="2:33" ht="15" customHeight="1" x14ac:dyDescent="0.25">
      <c r="B74" s="31"/>
      <c r="C74" s="31"/>
      <c r="D74" s="31"/>
      <c r="E74" s="31"/>
      <c r="F74" s="31"/>
      <c r="G74" s="31"/>
      <c r="H74" s="31"/>
      <c r="I74" s="31"/>
      <c r="J74" s="31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</row>
    <row r="75" spans="2:33" ht="15" customHeight="1" x14ac:dyDescent="0.25">
      <c r="B75" s="31"/>
      <c r="C75" s="31"/>
      <c r="D75" s="31"/>
      <c r="E75" s="31"/>
      <c r="F75" s="31"/>
      <c r="G75" s="31"/>
      <c r="H75" s="31"/>
      <c r="I75" s="31"/>
      <c r="J75" s="31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</row>
    <row r="76" spans="2:33" ht="15" customHeight="1" x14ac:dyDescent="0.25">
      <c r="B76" s="31"/>
      <c r="C76" s="31"/>
      <c r="D76" s="31"/>
      <c r="E76" s="31"/>
      <c r="F76" s="31"/>
      <c r="G76" s="31"/>
      <c r="H76" s="31"/>
      <c r="I76" s="31"/>
      <c r="J76" s="31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</row>
    <row r="77" spans="2:33" ht="15" customHeight="1" x14ac:dyDescent="0.25">
      <c r="B77" s="31"/>
      <c r="C77" s="31"/>
      <c r="D77" s="31"/>
      <c r="E77" s="31"/>
      <c r="F77" s="31"/>
      <c r="G77" s="31"/>
      <c r="H77" s="31"/>
      <c r="I77" s="31"/>
      <c r="J77" s="31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</row>
    <row r="78" spans="2:33" ht="15" customHeight="1" x14ac:dyDescent="0.25">
      <c r="B78" s="31"/>
      <c r="C78" s="31"/>
      <c r="D78" s="31"/>
      <c r="E78" s="31"/>
      <c r="F78" s="31"/>
      <c r="G78" s="31"/>
      <c r="H78" s="31"/>
      <c r="I78" s="31"/>
      <c r="J78" s="31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</row>
    <row r="79" spans="2:33" ht="15" customHeight="1" x14ac:dyDescent="0.25">
      <c r="B79" s="31"/>
      <c r="C79" s="31"/>
      <c r="D79" s="31"/>
      <c r="E79" s="31"/>
      <c r="F79" s="31"/>
      <c r="G79" s="31"/>
      <c r="H79" s="31"/>
      <c r="I79" s="31"/>
      <c r="J79" s="31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</row>
    <row r="80" spans="2:33" ht="15" customHeight="1" x14ac:dyDescent="0.25">
      <c r="B80" s="31"/>
      <c r="C80" s="31"/>
      <c r="D80" s="31"/>
      <c r="E80" s="31"/>
      <c r="F80" s="31"/>
      <c r="G80" s="31"/>
      <c r="H80" s="31"/>
      <c r="I80" s="31"/>
      <c r="J80" s="31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</row>
    <row r="81" spans="2:33" ht="15" customHeight="1" x14ac:dyDescent="0.25">
      <c r="B81" s="31"/>
      <c r="C81" s="31"/>
      <c r="D81" s="31"/>
      <c r="E81" s="31"/>
      <c r="F81" s="31"/>
      <c r="G81" s="31"/>
      <c r="H81" s="31"/>
      <c r="I81" s="31"/>
      <c r="J81" s="3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</row>
    <row r="82" spans="2:33" ht="15" customHeight="1" x14ac:dyDescent="0.25">
      <c r="B82" s="31"/>
      <c r="C82" s="31"/>
      <c r="D82" s="31"/>
      <c r="E82" s="31"/>
      <c r="F82" s="31"/>
      <c r="G82" s="31"/>
      <c r="H82" s="31"/>
      <c r="I82" s="31"/>
      <c r="J82" s="31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</row>
    <row r="83" spans="2:33" ht="15" customHeight="1" x14ac:dyDescent="0.25">
      <c r="B83" s="31"/>
      <c r="C83" s="31"/>
      <c r="D83" s="31"/>
      <c r="E83" s="31"/>
      <c r="F83" s="31"/>
      <c r="G83" s="31"/>
      <c r="H83" s="31"/>
      <c r="I83" s="31"/>
      <c r="J83" s="31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</row>
    <row r="84" spans="2:33" ht="15" customHeight="1" x14ac:dyDescent="0.25">
      <c r="B84" s="31"/>
      <c r="C84" s="31"/>
      <c r="D84" s="31"/>
      <c r="E84" s="31"/>
      <c r="F84" s="31"/>
      <c r="G84" s="31"/>
      <c r="H84" s="31"/>
      <c r="I84" s="31"/>
      <c r="J84" s="31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</row>
    <row r="85" spans="2:33" ht="15" customHeight="1" x14ac:dyDescent="0.25">
      <c r="B85" s="31"/>
      <c r="C85" s="31"/>
      <c r="D85" s="31"/>
      <c r="E85" s="31"/>
      <c r="F85" s="31"/>
      <c r="G85" s="31"/>
      <c r="H85" s="31"/>
      <c r="I85" s="31"/>
      <c r="J85" s="31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</row>
    <row r="86" spans="2:33" ht="15" customHeight="1" x14ac:dyDescent="0.25">
      <c r="B86" s="31"/>
      <c r="C86" s="31"/>
      <c r="D86" s="31"/>
      <c r="E86" s="31"/>
      <c r="F86" s="31"/>
      <c r="G86" s="31"/>
      <c r="H86" s="31"/>
      <c r="I86" s="31"/>
      <c r="J86" s="31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</row>
    <row r="87" spans="2:33" ht="15" customHeight="1" x14ac:dyDescent="0.25">
      <c r="B87" s="31"/>
      <c r="C87" s="31"/>
      <c r="D87" s="31"/>
      <c r="E87" s="31"/>
      <c r="F87" s="31"/>
      <c r="G87" s="31"/>
      <c r="H87" s="31"/>
      <c r="I87" s="31"/>
      <c r="J87" s="31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</row>
    <row r="88" spans="2:33" ht="15" customHeight="1" x14ac:dyDescent="0.25">
      <c r="B88" s="31"/>
      <c r="C88" s="31"/>
      <c r="D88" s="31"/>
      <c r="E88" s="31"/>
      <c r="F88" s="31"/>
      <c r="G88" s="31"/>
      <c r="H88" s="31"/>
      <c r="I88" s="31"/>
      <c r="J88" s="31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</row>
    <row r="89" spans="2:33" ht="15" customHeight="1" x14ac:dyDescent="0.25">
      <c r="B89" s="31"/>
      <c r="C89" s="31"/>
      <c r="D89" s="31"/>
      <c r="E89" s="31"/>
      <c r="F89" s="31"/>
      <c r="G89" s="31"/>
      <c r="H89" s="31"/>
      <c r="I89" s="31"/>
      <c r="J89" s="31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</row>
    <row r="90" spans="2:33" ht="15" customHeight="1" x14ac:dyDescent="0.25">
      <c r="B90" s="31"/>
      <c r="C90" s="31"/>
      <c r="D90" s="31"/>
      <c r="E90" s="31"/>
      <c r="F90" s="31"/>
      <c r="G90" s="31"/>
      <c r="H90" s="31"/>
      <c r="I90" s="31"/>
      <c r="J90" s="31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</row>
    <row r="91" spans="2:33" ht="15" customHeight="1" x14ac:dyDescent="0.25">
      <c r="B91" s="31"/>
      <c r="C91" s="31"/>
      <c r="D91" s="31"/>
      <c r="E91" s="31"/>
      <c r="F91" s="31"/>
      <c r="G91" s="31"/>
      <c r="H91" s="31"/>
      <c r="I91" s="31"/>
      <c r="J91" s="3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</row>
    <row r="92" spans="2:33" ht="15" customHeight="1" x14ac:dyDescent="0.25">
      <c r="B92" s="31"/>
      <c r="C92" s="31"/>
      <c r="D92" s="31"/>
      <c r="E92" s="31"/>
      <c r="F92" s="31"/>
      <c r="G92" s="31"/>
      <c r="H92" s="31"/>
      <c r="I92" s="31"/>
      <c r="J92" s="31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</row>
    <row r="93" spans="2:33" ht="15" customHeight="1" x14ac:dyDescent="0.25">
      <c r="B93" s="31"/>
      <c r="C93" s="31"/>
      <c r="D93" s="31"/>
      <c r="E93" s="31"/>
      <c r="F93" s="31"/>
      <c r="G93" s="31"/>
      <c r="H93" s="31"/>
      <c r="I93" s="31"/>
      <c r="J93" s="31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</row>
    <row r="94" spans="2:33" ht="15" customHeight="1" x14ac:dyDescent="0.25">
      <c r="B94" s="31"/>
      <c r="C94" s="31"/>
      <c r="D94" s="31"/>
      <c r="E94" s="31"/>
      <c r="F94" s="31"/>
      <c r="G94" s="31"/>
      <c r="H94" s="31"/>
      <c r="I94" s="31"/>
      <c r="J94" s="31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</row>
    <row r="95" spans="2:33" ht="15" customHeight="1" x14ac:dyDescent="0.25">
      <c r="B95" s="31"/>
      <c r="C95" s="31"/>
      <c r="D95" s="31"/>
      <c r="E95" s="31"/>
      <c r="F95" s="31"/>
      <c r="G95" s="31"/>
      <c r="H95" s="31"/>
      <c r="I95" s="31"/>
      <c r="J95" s="31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</row>
    <row r="96" spans="2:33" ht="15" customHeight="1" x14ac:dyDescent="0.25">
      <c r="B96" s="31"/>
      <c r="C96" s="31"/>
      <c r="D96" s="31"/>
      <c r="E96" s="31"/>
      <c r="F96" s="31"/>
      <c r="G96" s="31"/>
      <c r="H96" s="31"/>
      <c r="I96" s="31"/>
      <c r="J96" s="31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</row>
    <row r="97" spans="2:33" ht="15" customHeight="1" x14ac:dyDescent="0.25">
      <c r="B97" s="31"/>
      <c r="C97" s="31"/>
      <c r="D97" s="31"/>
      <c r="E97" s="31"/>
      <c r="F97" s="31"/>
      <c r="G97" s="31"/>
      <c r="H97" s="31"/>
      <c r="I97" s="31"/>
      <c r="J97" s="31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</row>
    <row r="98" spans="2:33" ht="15" customHeight="1" x14ac:dyDescent="0.25">
      <c r="B98" s="31"/>
      <c r="C98" s="31"/>
      <c r="D98" s="31"/>
      <c r="E98" s="31"/>
      <c r="F98" s="31"/>
      <c r="G98" s="31"/>
      <c r="H98" s="31"/>
      <c r="I98" s="31"/>
      <c r="J98" s="31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</row>
    <row r="99" spans="2:33" ht="15" customHeight="1" x14ac:dyDescent="0.25">
      <c r="B99" s="31"/>
      <c r="C99" s="31"/>
      <c r="D99" s="31"/>
      <c r="E99" s="31"/>
      <c r="F99" s="31"/>
      <c r="G99" s="31"/>
      <c r="H99" s="31"/>
      <c r="I99" s="31"/>
      <c r="J99" s="31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</row>
    <row r="100" spans="2:33" ht="15" customHeight="1" x14ac:dyDescent="0.25">
      <c r="B100" s="31"/>
      <c r="C100" s="31"/>
      <c r="D100" s="31"/>
      <c r="E100" s="31"/>
      <c r="F100" s="31"/>
      <c r="G100" s="31"/>
      <c r="H100" s="31"/>
      <c r="I100" s="31"/>
      <c r="J100" s="31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</row>
    <row r="101" spans="2:33" ht="15" customHeight="1" x14ac:dyDescent="0.25">
      <c r="B101" s="31"/>
      <c r="C101" s="31"/>
      <c r="D101" s="31"/>
      <c r="E101" s="31"/>
      <c r="F101" s="31"/>
      <c r="G101" s="31"/>
      <c r="H101" s="31"/>
      <c r="I101" s="31"/>
      <c r="J101" s="3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</row>
  </sheetData>
  <mergeCells count="1">
    <mergeCell ref="H1:I1"/>
  </mergeCells>
  <conditionalFormatting sqref="B1">
    <cfRule type="cellIs" dxfId="20" priority="1" operator="equal">
      <formula>"Incomplete"</formula>
    </cfRule>
    <cfRule type="cellIs" dxfId="19" priority="2" operator="equal">
      <formula>"Flag for Review"</formula>
    </cfRule>
    <cfRule type="cellIs" dxfId="18" priority="3" operator="equal">
      <formula>"Finished"</formula>
    </cfRule>
  </conditionalFormatting>
  <dataValidations count="1">
    <dataValidation type="list" allowBlank="1" showInputMessage="1" showErrorMessage="1" sqref="B1">
      <formula1>"Finished, Flag for Review, Incomplete"</formula1>
    </dataValidation>
  </dataValidations>
  <hyperlinks>
    <hyperlink ref="H1" location="'Point Grid'!A8" display="Return to Point Grid"/>
    <hyperlink ref="H1:I1" location="'Point Grid'!A1" display="Return to Point Grid"/>
  </hyperlink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AI100"/>
  <sheetViews>
    <sheetView zoomScaleNormal="100" workbookViewId="0"/>
  </sheetViews>
  <sheetFormatPr defaultColWidth="9.140625" defaultRowHeight="15" x14ac:dyDescent="0.25"/>
  <cols>
    <col min="1" max="1" width="9.140625" style="21"/>
    <col min="2" max="2" width="16" style="21" bestFit="1" customWidth="1"/>
    <col min="3" max="9" width="11.140625" style="21" customWidth="1"/>
    <col min="10" max="16384" width="9.140625" style="21"/>
  </cols>
  <sheetData>
    <row r="1" spans="1:35" ht="15" customHeight="1" x14ac:dyDescent="0.25">
      <c r="A1" s="7">
        <v>25</v>
      </c>
      <c r="B1" s="27" t="s">
        <v>12</v>
      </c>
      <c r="C1" s="20"/>
      <c r="D1" s="20"/>
      <c r="E1" s="20"/>
      <c r="F1" s="20"/>
      <c r="G1" s="20"/>
      <c r="H1" s="384" t="s">
        <v>24</v>
      </c>
      <c r="I1" s="385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</row>
    <row r="2" spans="1:35" ht="15" customHeight="1" x14ac:dyDescent="0.25">
      <c r="A2" s="22"/>
      <c r="B2" s="19"/>
      <c r="C2" s="19"/>
      <c r="D2" s="19"/>
      <c r="E2" s="19"/>
      <c r="F2" s="19"/>
      <c r="G2" s="19"/>
      <c r="H2" s="19"/>
      <c r="I2" s="23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</row>
    <row r="3" spans="1:35" ht="15" customHeight="1" x14ac:dyDescent="0.25">
      <c r="A3" s="8" t="s">
        <v>13</v>
      </c>
      <c r="B3" s="17"/>
      <c r="C3" s="17"/>
      <c r="D3" s="17"/>
      <c r="E3" s="17"/>
      <c r="F3" s="17"/>
      <c r="G3" s="17"/>
      <c r="H3" s="17"/>
      <c r="I3" s="18"/>
      <c r="J3" s="31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</row>
    <row r="4" spans="1:35" ht="15" customHeight="1" x14ac:dyDescent="0.25">
      <c r="A4" s="9">
        <f>INDEX('Point Grid'!B:B,MATCH(A1,'Point Grid'!A:A,0))</f>
        <v>2</v>
      </c>
      <c r="B4" s="17"/>
      <c r="C4" s="17"/>
      <c r="D4" s="17"/>
      <c r="E4" s="17"/>
      <c r="F4" s="17"/>
      <c r="G4" s="17"/>
      <c r="H4" s="17"/>
      <c r="I4" s="18"/>
      <c r="J4" s="31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</row>
    <row r="5" spans="1:35" ht="15" customHeight="1" x14ac:dyDescent="0.25">
      <c r="A5" s="16"/>
      <c r="B5" s="17"/>
      <c r="C5" s="17"/>
      <c r="D5" s="17"/>
      <c r="E5" s="17"/>
      <c r="F5" s="17"/>
      <c r="G5" s="17"/>
      <c r="H5" s="17"/>
      <c r="I5" s="18"/>
      <c r="J5" s="31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</row>
    <row r="6" spans="1:35" ht="15" customHeight="1" x14ac:dyDescent="0.25">
      <c r="A6" s="25" t="s">
        <v>2</v>
      </c>
      <c r="B6" s="17" t="s">
        <v>345</v>
      </c>
      <c r="C6" s="17"/>
      <c r="D6" s="17"/>
      <c r="E6" s="17"/>
      <c r="F6" s="17"/>
      <c r="G6" s="17"/>
      <c r="H6" s="17"/>
      <c r="I6" s="18"/>
      <c r="J6" s="31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</row>
    <row r="7" spans="1:35" ht="15" customHeight="1" thickBot="1" x14ac:dyDescent="0.3">
      <c r="A7" s="9">
        <f>INDEX('Point Grid'!$C$8:$I$54,MATCH($A$1,'Point Grid'!$A$8:$A$54,0),MATCH(A6,'Point Grid'!$C$7:$I$7,0))</f>
        <v>0.5</v>
      </c>
      <c r="B7" s="17" t="s">
        <v>346</v>
      </c>
      <c r="C7" s="17"/>
      <c r="D7" s="17"/>
      <c r="E7" s="17"/>
      <c r="F7" s="17"/>
      <c r="G7" s="17"/>
      <c r="H7" s="17"/>
      <c r="I7" s="18"/>
      <c r="J7" s="31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</row>
    <row r="8" spans="1:35" ht="15" customHeight="1" thickBot="1" x14ac:dyDescent="0.3">
      <c r="A8" s="5"/>
      <c r="B8" s="17" t="s">
        <v>347</v>
      </c>
      <c r="C8" s="28"/>
      <c r="D8" s="28"/>
      <c r="E8" s="28"/>
      <c r="F8" s="28"/>
      <c r="G8" s="28"/>
      <c r="H8" s="28"/>
      <c r="I8" s="18"/>
      <c r="J8" s="31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</row>
    <row r="9" spans="1:35" ht="15" customHeight="1" x14ac:dyDescent="0.25">
      <c r="A9" s="25"/>
      <c r="B9" s="17" t="s">
        <v>348</v>
      </c>
      <c r="C9" s="17"/>
      <c r="D9" s="17"/>
      <c r="E9" s="17"/>
      <c r="F9" s="17"/>
      <c r="G9" s="17"/>
      <c r="H9" s="17"/>
      <c r="I9" s="18"/>
      <c r="J9" s="31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</row>
    <row r="10" spans="1:35" ht="15" customHeight="1" x14ac:dyDescent="0.25">
      <c r="A10" s="25"/>
      <c r="B10" s="17"/>
      <c r="C10" s="17"/>
      <c r="D10" s="17"/>
      <c r="E10" s="17"/>
      <c r="F10" s="17"/>
      <c r="G10" s="17"/>
      <c r="H10" s="17"/>
      <c r="I10" s="18"/>
      <c r="J10" s="31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</row>
    <row r="11" spans="1:35" ht="15" customHeight="1" x14ac:dyDescent="0.25">
      <c r="A11" s="25"/>
      <c r="B11" s="17" t="s">
        <v>349</v>
      </c>
      <c r="C11" s="17"/>
      <c r="D11" s="17"/>
      <c r="E11" s="17"/>
      <c r="F11" s="17"/>
      <c r="G11" s="17"/>
      <c r="H11" s="17"/>
      <c r="I11" s="18"/>
      <c r="J11" s="3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</row>
    <row r="12" spans="1:35" ht="15" customHeight="1" x14ac:dyDescent="0.25">
      <c r="A12" s="25"/>
      <c r="B12" s="17"/>
      <c r="C12" s="17"/>
      <c r="D12" s="17"/>
      <c r="E12" s="17"/>
      <c r="F12" s="17"/>
      <c r="G12" s="17"/>
      <c r="H12" s="17"/>
      <c r="I12" s="18"/>
      <c r="J12" s="31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</row>
    <row r="13" spans="1:35" ht="15" customHeight="1" x14ac:dyDescent="0.25">
      <c r="A13" s="25" t="s">
        <v>3</v>
      </c>
      <c r="B13" s="116" t="s">
        <v>338</v>
      </c>
      <c r="C13" s="116"/>
      <c r="D13" s="116"/>
      <c r="E13" s="303"/>
      <c r="F13" s="303"/>
      <c r="G13" s="304"/>
      <c r="H13" s="281">
        <v>2021</v>
      </c>
      <c r="I13" s="18"/>
      <c r="J13" s="31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</row>
    <row r="14" spans="1:35" ht="15" customHeight="1" thickBot="1" x14ac:dyDescent="0.3">
      <c r="A14" s="9">
        <f>INDEX('Point Grid'!$C$8:$I$54,MATCH($A$1,'Point Grid'!$A$8:$A$54,0),MATCH(A13,'Point Grid'!$C$7:$I$7,0))</f>
        <v>1.5</v>
      </c>
      <c r="B14" s="116"/>
      <c r="C14" s="116"/>
      <c r="D14" s="116"/>
      <c r="E14" s="116"/>
      <c r="F14" s="116"/>
      <c r="G14" s="116"/>
      <c r="H14" s="116"/>
      <c r="I14" s="18"/>
      <c r="J14" s="31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</row>
    <row r="15" spans="1:35" ht="15" customHeight="1" thickBot="1" x14ac:dyDescent="0.3">
      <c r="A15" s="5"/>
      <c r="B15" s="116"/>
      <c r="C15" s="116"/>
      <c r="D15" s="116"/>
      <c r="E15" s="116"/>
      <c r="F15" s="116"/>
      <c r="G15" s="116"/>
      <c r="H15" s="116"/>
      <c r="I15" s="18"/>
      <c r="J15" s="31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</row>
    <row r="16" spans="1:35" ht="15" customHeight="1" x14ac:dyDescent="0.25">
      <c r="A16" s="25"/>
      <c r="B16" s="116" t="s">
        <v>340</v>
      </c>
      <c r="C16" s="116"/>
      <c r="D16" s="116"/>
      <c r="E16" s="116"/>
      <c r="F16" s="116"/>
      <c r="G16" s="116"/>
      <c r="H16" s="116"/>
      <c r="I16" s="18"/>
      <c r="J16" s="31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</row>
    <row r="17" spans="1:35" ht="15" customHeight="1" x14ac:dyDescent="0.25">
      <c r="A17" s="25"/>
      <c r="B17" s="251"/>
      <c r="C17" s="251"/>
      <c r="D17" s="251"/>
      <c r="E17" s="251"/>
      <c r="F17" s="251"/>
      <c r="G17" s="251"/>
      <c r="H17" s="251"/>
      <c r="I17" s="18"/>
      <c r="J17" s="31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</row>
    <row r="18" spans="1:35" ht="15" customHeight="1" x14ac:dyDescent="0.25">
      <c r="A18" s="25"/>
      <c r="B18" s="305"/>
      <c r="C18" s="306" t="s">
        <v>341</v>
      </c>
      <c r="D18" s="307">
        <v>2021</v>
      </c>
      <c r="E18" s="308">
        <v>7970</v>
      </c>
      <c r="F18" s="309" t="s">
        <v>289</v>
      </c>
      <c r="G18" s="215" t="s">
        <v>342</v>
      </c>
      <c r="H18" s="215"/>
      <c r="I18" s="18"/>
      <c r="J18" s="31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</row>
    <row r="19" spans="1:35" ht="15" customHeight="1" x14ac:dyDescent="0.25">
      <c r="A19" s="25"/>
      <c r="B19" s="116"/>
      <c r="C19" s="116"/>
      <c r="D19" s="116"/>
      <c r="E19" s="116"/>
      <c r="F19" s="116"/>
      <c r="G19" s="116"/>
      <c r="H19" s="116"/>
      <c r="I19" s="18"/>
      <c r="J19" s="31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</row>
    <row r="20" spans="1:35" ht="15" customHeight="1" x14ac:dyDescent="0.25">
      <c r="A20" s="25"/>
      <c r="B20" s="310" t="s">
        <v>343</v>
      </c>
      <c r="C20" s="311"/>
      <c r="D20" s="312"/>
      <c r="E20" s="313" t="s">
        <v>315</v>
      </c>
      <c r="F20" s="313" t="s">
        <v>74</v>
      </c>
      <c r="G20" s="309"/>
      <c r="H20" s="215"/>
      <c r="I20" s="18"/>
      <c r="J20" s="31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</row>
    <row r="21" spans="1:35" ht="15" customHeight="1" x14ac:dyDescent="0.25">
      <c r="A21" s="25"/>
      <c r="B21" s="243">
        <v>12</v>
      </c>
      <c r="C21" s="314" t="s">
        <v>339</v>
      </c>
      <c r="D21" s="246" t="s">
        <v>344</v>
      </c>
      <c r="E21" s="315">
        <v>4.55</v>
      </c>
      <c r="F21" s="315">
        <v>3.03</v>
      </c>
      <c r="G21" s="65"/>
      <c r="H21" s="116"/>
      <c r="I21" s="18"/>
      <c r="J21" s="3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</row>
    <row r="22" spans="1:35" ht="15" customHeight="1" x14ac:dyDescent="0.25">
      <c r="A22" s="25"/>
      <c r="B22" s="261">
        <v>24</v>
      </c>
      <c r="C22" s="316" t="s">
        <v>339</v>
      </c>
      <c r="D22" s="250" t="s">
        <v>344</v>
      </c>
      <c r="E22" s="317">
        <v>2.2000000000000002</v>
      </c>
      <c r="F22" s="317">
        <v>1.39</v>
      </c>
      <c r="G22" s="65"/>
      <c r="H22" s="116"/>
      <c r="I22" s="18"/>
      <c r="J22" s="31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</row>
    <row r="23" spans="1:35" ht="15" customHeight="1" x14ac:dyDescent="0.25">
      <c r="A23" s="25"/>
      <c r="B23" s="318">
        <v>36</v>
      </c>
      <c r="C23" s="319" t="s">
        <v>339</v>
      </c>
      <c r="D23" s="320" t="s">
        <v>344</v>
      </c>
      <c r="E23" s="321">
        <v>1.59</v>
      </c>
      <c r="F23" s="321">
        <v>1.1399999999999999</v>
      </c>
      <c r="G23" s="65"/>
      <c r="H23" s="116"/>
      <c r="I23" s="18"/>
      <c r="J23" s="31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</row>
    <row r="24" spans="1:35" ht="15" customHeight="1" x14ac:dyDescent="0.25">
      <c r="A24" s="25"/>
      <c r="B24" s="261">
        <v>48</v>
      </c>
      <c r="C24" s="316" t="s">
        <v>339</v>
      </c>
      <c r="D24" s="250" t="s">
        <v>344</v>
      </c>
      <c r="E24" s="317">
        <v>1.24</v>
      </c>
      <c r="F24" s="317">
        <v>1.08</v>
      </c>
      <c r="G24" s="65"/>
      <c r="H24" s="116"/>
      <c r="I24" s="18"/>
      <c r="J24" s="31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</row>
    <row r="25" spans="1:35" ht="15" customHeight="1" x14ac:dyDescent="0.25">
      <c r="A25" s="25"/>
      <c r="B25" s="261">
        <v>60</v>
      </c>
      <c r="C25" s="316" t="s">
        <v>339</v>
      </c>
      <c r="D25" s="250" t="s">
        <v>344</v>
      </c>
      <c r="E25" s="317">
        <v>1.1299999999999999</v>
      </c>
      <c r="F25" s="317">
        <v>1.05</v>
      </c>
      <c r="G25" s="65"/>
      <c r="H25" s="116"/>
      <c r="I25" s="18"/>
      <c r="J25" s="31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</row>
    <row r="26" spans="1:35" ht="15" customHeight="1" x14ac:dyDescent="0.25">
      <c r="A26" s="25"/>
      <c r="B26" s="318">
        <v>72</v>
      </c>
      <c r="C26" s="319" t="s">
        <v>339</v>
      </c>
      <c r="D26" s="320" t="s">
        <v>344</v>
      </c>
      <c r="E26" s="321">
        <v>1.0900000000000001</v>
      </c>
      <c r="F26" s="321">
        <v>1.02</v>
      </c>
      <c r="G26" s="116"/>
      <c r="H26" s="116"/>
      <c r="I26" s="18"/>
      <c r="J26" s="31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</row>
    <row r="27" spans="1:35" ht="15" customHeight="1" x14ac:dyDescent="0.25">
      <c r="A27" s="25"/>
      <c r="B27" s="17"/>
      <c r="C27" s="28"/>
      <c r="D27" s="28"/>
      <c r="E27" s="28"/>
      <c r="F27" s="28"/>
      <c r="G27" s="28"/>
      <c r="H27" s="28"/>
      <c r="I27" s="18"/>
      <c r="J27" s="31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</row>
    <row r="28" spans="1:35" ht="15" customHeight="1" x14ac:dyDescent="0.25">
      <c r="A28" s="25"/>
      <c r="B28" s="17"/>
      <c r="C28" s="28"/>
      <c r="D28" s="28"/>
      <c r="E28" s="28"/>
      <c r="F28" s="28"/>
      <c r="G28" s="28"/>
      <c r="H28" s="28"/>
      <c r="I28" s="18"/>
      <c r="J28" s="31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</row>
    <row r="29" spans="1:35" ht="15" customHeight="1" x14ac:dyDescent="0.25">
      <c r="A29" s="25"/>
      <c r="B29" s="17"/>
      <c r="C29" s="28"/>
      <c r="D29" s="28"/>
      <c r="E29" s="28"/>
      <c r="F29" s="28"/>
      <c r="G29" s="28"/>
      <c r="H29" s="28"/>
      <c r="I29" s="18"/>
      <c r="J29" s="31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</row>
    <row r="30" spans="1:35" ht="15" customHeight="1" x14ac:dyDescent="0.25">
      <c r="A30" s="25"/>
      <c r="B30" s="17"/>
      <c r="C30" s="28"/>
      <c r="D30" s="28"/>
      <c r="E30" s="28"/>
      <c r="F30" s="28"/>
      <c r="G30" s="28"/>
      <c r="H30" s="28"/>
      <c r="I30" s="18"/>
      <c r="J30" s="31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</row>
    <row r="31" spans="1:35" ht="15" customHeight="1" x14ac:dyDescent="0.25">
      <c r="A31" s="25"/>
      <c r="B31" s="17"/>
      <c r="C31" s="28"/>
      <c r="D31" s="28"/>
      <c r="E31" s="28"/>
      <c r="F31" s="28"/>
      <c r="G31" s="28"/>
      <c r="H31" s="28"/>
      <c r="I31" s="18"/>
      <c r="J31" s="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</row>
    <row r="32" spans="1:35" ht="15" customHeight="1" x14ac:dyDescent="0.25">
      <c r="A32" s="22"/>
      <c r="B32" s="17"/>
      <c r="C32" s="17"/>
      <c r="D32" s="17"/>
      <c r="E32" s="17"/>
      <c r="F32" s="17"/>
      <c r="G32" s="17"/>
      <c r="H32" s="17"/>
      <c r="I32" s="18"/>
      <c r="J32" s="31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</row>
    <row r="33" spans="1:35" ht="15" customHeight="1" thickBot="1" x14ac:dyDescent="0.3">
      <c r="A33" s="24"/>
      <c r="B33" s="32"/>
      <c r="C33" s="32"/>
      <c r="D33" s="32"/>
      <c r="E33" s="32"/>
      <c r="F33" s="32"/>
      <c r="G33" s="32"/>
      <c r="H33" s="32"/>
      <c r="I33" s="33"/>
      <c r="J33" s="31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</row>
    <row r="34" spans="1:35" ht="15" customHeight="1" x14ac:dyDescent="0.25">
      <c r="J34" s="31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</row>
    <row r="35" spans="1:35" ht="15" customHeight="1" x14ac:dyDescent="0.25">
      <c r="J35" s="31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</row>
    <row r="36" spans="1:35" ht="15" customHeight="1" x14ac:dyDescent="0.25">
      <c r="J36" s="31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</row>
    <row r="37" spans="1:35" ht="15" customHeight="1" x14ac:dyDescent="0.25">
      <c r="J37" s="31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</row>
    <row r="38" spans="1:35" ht="15" customHeight="1" x14ac:dyDescent="0.25">
      <c r="J38" s="31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</row>
    <row r="39" spans="1:35" ht="15" customHeight="1" x14ac:dyDescent="0.25">
      <c r="J39" s="31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</row>
    <row r="40" spans="1:35" ht="15" customHeight="1" x14ac:dyDescent="0.25">
      <c r="J40" s="31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</row>
    <row r="41" spans="1:35" ht="15" customHeight="1" x14ac:dyDescent="0.25">
      <c r="J41" s="3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</row>
    <row r="42" spans="1:35" ht="15" customHeight="1" x14ac:dyDescent="0.25">
      <c r="J42" s="31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</row>
    <row r="43" spans="1:35" ht="15" customHeight="1" x14ac:dyDescent="0.25">
      <c r="J43" s="31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</row>
    <row r="44" spans="1:35" ht="15" customHeight="1" x14ac:dyDescent="0.25">
      <c r="J44" s="31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</row>
    <row r="45" spans="1:35" ht="15" customHeight="1" x14ac:dyDescent="0.25">
      <c r="B45" s="31"/>
      <c r="C45" s="31"/>
      <c r="D45" s="31"/>
      <c r="E45" s="31"/>
      <c r="F45" s="31"/>
      <c r="G45" s="31"/>
      <c r="H45" s="31"/>
      <c r="I45" s="31"/>
      <c r="J45" s="31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</row>
    <row r="46" spans="1:35" ht="15" customHeight="1" x14ac:dyDescent="0.25">
      <c r="B46" s="31"/>
      <c r="C46" s="31"/>
      <c r="D46" s="31"/>
      <c r="E46" s="31"/>
      <c r="F46" s="31"/>
      <c r="G46" s="31"/>
      <c r="H46" s="31"/>
      <c r="I46" s="31"/>
      <c r="J46" s="31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</row>
    <row r="47" spans="1:35" ht="15" customHeight="1" x14ac:dyDescent="0.25">
      <c r="B47" s="31"/>
      <c r="C47" s="31"/>
      <c r="D47" s="31"/>
      <c r="E47" s="31"/>
      <c r="F47" s="31"/>
      <c r="G47" s="31"/>
      <c r="H47" s="31"/>
      <c r="I47" s="31"/>
      <c r="J47" s="31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</row>
    <row r="48" spans="1:35" ht="15" customHeight="1" x14ac:dyDescent="0.25">
      <c r="B48" s="31"/>
      <c r="C48" s="31"/>
      <c r="D48" s="31"/>
      <c r="E48" s="31"/>
      <c r="F48" s="31"/>
      <c r="G48" s="31"/>
      <c r="H48" s="31"/>
      <c r="I48" s="31"/>
      <c r="J48" s="31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</row>
    <row r="49" spans="2:35" ht="15" customHeight="1" x14ac:dyDescent="0.25">
      <c r="B49" s="31"/>
      <c r="C49" s="31"/>
      <c r="D49" s="31"/>
      <c r="E49" s="31"/>
      <c r="F49" s="31"/>
      <c r="G49" s="31"/>
      <c r="H49" s="31"/>
      <c r="I49" s="31"/>
      <c r="J49" s="31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</row>
    <row r="50" spans="2:35" ht="15" customHeight="1" x14ac:dyDescent="0.25">
      <c r="B50" s="31"/>
      <c r="C50" s="31"/>
      <c r="D50" s="31"/>
      <c r="E50" s="31"/>
      <c r="F50" s="31"/>
      <c r="G50" s="31"/>
      <c r="H50" s="31"/>
      <c r="I50" s="31"/>
      <c r="J50" s="31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</row>
    <row r="51" spans="2:35" ht="15" customHeight="1" x14ac:dyDescent="0.25">
      <c r="B51" s="31"/>
      <c r="C51" s="31"/>
      <c r="D51" s="31"/>
      <c r="E51" s="31"/>
      <c r="F51" s="31"/>
      <c r="G51" s="31"/>
      <c r="H51" s="31"/>
      <c r="I51" s="31"/>
      <c r="J51" s="3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</row>
    <row r="52" spans="2:35" ht="15" customHeight="1" x14ac:dyDescent="0.25">
      <c r="B52" s="31"/>
      <c r="C52" s="31"/>
      <c r="D52" s="31"/>
      <c r="E52" s="31"/>
      <c r="F52" s="31"/>
      <c r="G52" s="31"/>
      <c r="H52" s="31"/>
      <c r="I52" s="31"/>
      <c r="J52" s="31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</row>
    <row r="53" spans="2:35" ht="15" customHeight="1" x14ac:dyDescent="0.25">
      <c r="B53" s="31"/>
      <c r="C53" s="31"/>
      <c r="D53" s="31"/>
      <c r="E53" s="31"/>
      <c r="F53" s="31"/>
      <c r="G53" s="31"/>
      <c r="H53" s="31"/>
      <c r="I53" s="31"/>
      <c r="J53" s="31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</row>
    <row r="54" spans="2:35" ht="15" customHeight="1" x14ac:dyDescent="0.25">
      <c r="B54" s="31"/>
      <c r="C54" s="31"/>
      <c r="D54" s="31"/>
      <c r="E54" s="31"/>
      <c r="F54" s="31"/>
      <c r="G54" s="31"/>
      <c r="H54" s="31"/>
      <c r="I54" s="31"/>
      <c r="J54" s="31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</row>
    <row r="55" spans="2:35" ht="15" customHeight="1" x14ac:dyDescent="0.25">
      <c r="B55" s="31"/>
      <c r="C55" s="31"/>
      <c r="D55" s="31"/>
      <c r="E55" s="31"/>
      <c r="F55" s="31"/>
      <c r="G55" s="31"/>
      <c r="H55" s="31"/>
      <c r="I55" s="31"/>
      <c r="J55" s="31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</row>
    <row r="56" spans="2:35" ht="15" customHeight="1" x14ac:dyDescent="0.25">
      <c r="B56" s="31"/>
      <c r="C56" s="31"/>
      <c r="D56" s="31"/>
      <c r="E56" s="31"/>
      <c r="F56" s="31"/>
      <c r="G56" s="31"/>
      <c r="H56" s="31"/>
      <c r="I56" s="31"/>
      <c r="J56" s="31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</row>
    <row r="57" spans="2:35" ht="15" customHeight="1" x14ac:dyDescent="0.25">
      <c r="B57" s="31"/>
      <c r="C57" s="31"/>
      <c r="D57" s="31"/>
      <c r="E57" s="31"/>
      <c r="F57" s="31"/>
      <c r="G57" s="31"/>
      <c r="H57" s="31"/>
      <c r="I57" s="31"/>
      <c r="J57" s="31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</row>
    <row r="58" spans="2:35" ht="15" customHeight="1" x14ac:dyDescent="0.25">
      <c r="B58" s="31"/>
      <c r="C58" s="31"/>
      <c r="D58" s="31"/>
      <c r="E58" s="31"/>
      <c r="F58" s="31"/>
      <c r="G58" s="31"/>
      <c r="H58" s="31"/>
      <c r="I58" s="31"/>
      <c r="J58" s="31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</row>
    <row r="59" spans="2:35" ht="15" customHeight="1" x14ac:dyDescent="0.25">
      <c r="B59" s="31"/>
      <c r="C59" s="31"/>
      <c r="D59" s="31"/>
      <c r="E59" s="31"/>
      <c r="F59" s="31"/>
      <c r="G59" s="31"/>
      <c r="H59" s="31"/>
      <c r="I59" s="31"/>
      <c r="J59" s="31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</row>
    <row r="60" spans="2:35" ht="15" customHeight="1" x14ac:dyDescent="0.25">
      <c r="B60" s="31"/>
      <c r="C60" s="31"/>
      <c r="D60" s="31"/>
      <c r="E60" s="31"/>
      <c r="F60" s="31"/>
      <c r="G60" s="31"/>
      <c r="H60" s="31"/>
      <c r="I60" s="31"/>
      <c r="J60" s="31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</row>
    <row r="61" spans="2:35" ht="15" customHeight="1" x14ac:dyDescent="0.25">
      <c r="B61" s="31"/>
      <c r="C61" s="31"/>
      <c r="D61" s="31"/>
      <c r="E61" s="31"/>
      <c r="F61" s="31"/>
      <c r="G61" s="31"/>
      <c r="H61" s="31"/>
      <c r="I61" s="31"/>
      <c r="J61" s="3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</row>
    <row r="62" spans="2:35" ht="15" customHeight="1" x14ac:dyDescent="0.25">
      <c r="B62" s="31"/>
      <c r="C62" s="31"/>
      <c r="D62" s="31"/>
      <c r="E62" s="31"/>
      <c r="F62" s="31"/>
      <c r="G62" s="31"/>
      <c r="H62" s="31"/>
      <c r="I62" s="31"/>
      <c r="J62" s="31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</row>
    <row r="63" spans="2:35" ht="15" customHeight="1" x14ac:dyDescent="0.25">
      <c r="B63" s="31"/>
      <c r="C63" s="31"/>
      <c r="D63" s="31"/>
      <c r="E63" s="31"/>
      <c r="F63" s="31"/>
      <c r="G63" s="31"/>
      <c r="H63" s="31"/>
      <c r="I63" s="31"/>
      <c r="J63" s="31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</row>
    <row r="64" spans="2:35" ht="15" customHeight="1" x14ac:dyDescent="0.25">
      <c r="B64" s="31"/>
      <c r="C64" s="31"/>
      <c r="D64" s="31"/>
      <c r="E64" s="31"/>
      <c r="F64" s="31"/>
      <c r="G64" s="31"/>
      <c r="H64" s="31"/>
      <c r="I64" s="31"/>
      <c r="J64" s="31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</row>
    <row r="65" spans="2:35" ht="15" customHeight="1" x14ac:dyDescent="0.25">
      <c r="B65" s="31"/>
      <c r="C65" s="31"/>
      <c r="D65" s="31"/>
      <c r="E65" s="31"/>
      <c r="F65" s="31"/>
      <c r="G65" s="31"/>
      <c r="H65" s="31"/>
      <c r="I65" s="31"/>
      <c r="J65" s="31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</row>
    <row r="66" spans="2:35" ht="15" customHeight="1" x14ac:dyDescent="0.25">
      <c r="B66" s="31"/>
      <c r="C66" s="31"/>
      <c r="D66" s="31"/>
      <c r="E66" s="31"/>
      <c r="F66" s="31"/>
      <c r="G66" s="31"/>
      <c r="H66" s="31"/>
      <c r="I66" s="31"/>
      <c r="J66" s="31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</row>
    <row r="67" spans="2:35" ht="15" customHeight="1" x14ac:dyDescent="0.25">
      <c r="B67" s="31"/>
      <c r="C67" s="31"/>
      <c r="D67" s="31"/>
      <c r="E67" s="31"/>
      <c r="F67" s="31"/>
      <c r="G67" s="31"/>
      <c r="H67" s="31"/>
      <c r="I67" s="31"/>
      <c r="J67" s="31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</row>
    <row r="68" spans="2:35" ht="15" customHeight="1" x14ac:dyDescent="0.25">
      <c r="B68" s="31"/>
      <c r="C68" s="31"/>
      <c r="D68" s="31"/>
      <c r="E68" s="31"/>
      <c r="F68" s="31"/>
      <c r="G68" s="31"/>
      <c r="H68" s="31"/>
      <c r="I68" s="31"/>
      <c r="J68" s="31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</row>
    <row r="69" spans="2:35" ht="15" customHeight="1" x14ac:dyDescent="0.25">
      <c r="B69" s="31"/>
      <c r="C69" s="31"/>
      <c r="D69" s="31"/>
      <c r="E69" s="31"/>
      <c r="F69" s="31"/>
      <c r="G69" s="31"/>
      <c r="H69" s="31"/>
      <c r="I69" s="31"/>
      <c r="J69" s="31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</row>
    <row r="70" spans="2:35" ht="15" customHeight="1" x14ac:dyDescent="0.25">
      <c r="B70" s="31"/>
      <c r="C70" s="31"/>
      <c r="D70" s="31"/>
      <c r="E70" s="31"/>
      <c r="F70" s="31"/>
      <c r="G70" s="31"/>
      <c r="H70" s="31"/>
      <c r="I70" s="31"/>
      <c r="J70" s="31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</row>
    <row r="71" spans="2:35" ht="15" customHeight="1" x14ac:dyDescent="0.25">
      <c r="B71" s="31"/>
      <c r="C71" s="31"/>
      <c r="D71" s="31"/>
      <c r="E71" s="31"/>
      <c r="F71" s="31"/>
      <c r="G71" s="31"/>
      <c r="H71" s="31"/>
      <c r="I71" s="31"/>
      <c r="J71" s="3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</row>
    <row r="72" spans="2:35" ht="15" customHeight="1" x14ac:dyDescent="0.25">
      <c r="B72" s="31"/>
      <c r="C72" s="31"/>
      <c r="D72" s="31"/>
      <c r="E72" s="31"/>
      <c r="F72" s="31"/>
      <c r="G72" s="31"/>
      <c r="H72" s="31"/>
      <c r="I72" s="31"/>
      <c r="J72" s="31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</row>
    <row r="73" spans="2:35" ht="15" customHeight="1" x14ac:dyDescent="0.25">
      <c r="B73" s="31"/>
      <c r="C73" s="31"/>
      <c r="D73" s="31"/>
      <c r="E73" s="31"/>
      <c r="F73" s="31"/>
      <c r="G73" s="31"/>
      <c r="H73" s="31"/>
      <c r="I73" s="31"/>
      <c r="J73" s="31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</row>
    <row r="74" spans="2:35" ht="15" customHeight="1" x14ac:dyDescent="0.25">
      <c r="B74" s="31"/>
      <c r="C74" s="31"/>
      <c r="D74" s="31"/>
      <c r="E74" s="31"/>
      <c r="F74" s="31"/>
      <c r="G74" s="31"/>
      <c r="H74" s="31"/>
      <c r="I74" s="31"/>
      <c r="J74" s="31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</row>
    <row r="75" spans="2:35" ht="15" customHeight="1" x14ac:dyDescent="0.25">
      <c r="B75" s="31"/>
      <c r="C75" s="31"/>
      <c r="D75" s="31"/>
      <c r="E75" s="31"/>
      <c r="F75" s="31"/>
      <c r="G75" s="31"/>
      <c r="H75" s="31"/>
      <c r="I75" s="31"/>
      <c r="J75" s="31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</row>
    <row r="76" spans="2:35" ht="15" customHeight="1" x14ac:dyDescent="0.25">
      <c r="B76" s="31"/>
      <c r="C76" s="31"/>
      <c r="D76" s="31"/>
      <c r="E76" s="31"/>
      <c r="F76" s="31"/>
      <c r="G76" s="31"/>
      <c r="H76" s="31"/>
      <c r="I76" s="31"/>
      <c r="J76" s="31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</row>
    <row r="77" spans="2:35" ht="15" customHeight="1" x14ac:dyDescent="0.25">
      <c r="B77" s="31"/>
      <c r="C77" s="31"/>
      <c r="D77" s="31"/>
      <c r="E77" s="31"/>
      <c r="F77" s="31"/>
      <c r="G77" s="31"/>
      <c r="H77" s="31"/>
      <c r="I77" s="31"/>
      <c r="J77" s="31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</row>
    <row r="78" spans="2:35" ht="15" customHeight="1" x14ac:dyDescent="0.25">
      <c r="B78" s="31"/>
      <c r="C78" s="31"/>
      <c r="D78" s="31"/>
      <c r="E78" s="31"/>
      <c r="F78" s="31"/>
      <c r="G78" s="31"/>
      <c r="H78" s="31"/>
      <c r="I78" s="31"/>
      <c r="J78" s="31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</row>
    <row r="79" spans="2:35" ht="15" customHeight="1" x14ac:dyDescent="0.25">
      <c r="B79" s="31"/>
      <c r="C79" s="31"/>
      <c r="D79" s="31"/>
      <c r="E79" s="31"/>
      <c r="F79" s="31"/>
      <c r="G79" s="31"/>
      <c r="H79" s="31"/>
      <c r="I79" s="31"/>
      <c r="J79" s="31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</row>
    <row r="80" spans="2:35" ht="15" customHeight="1" x14ac:dyDescent="0.25">
      <c r="B80" s="31"/>
      <c r="C80" s="31"/>
      <c r="D80" s="31"/>
      <c r="E80" s="31"/>
      <c r="F80" s="31"/>
      <c r="G80" s="31"/>
      <c r="H80" s="31"/>
      <c r="I80" s="31"/>
      <c r="J80" s="31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</row>
    <row r="81" spans="2:35" ht="15" customHeight="1" x14ac:dyDescent="0.25">
      <c r="B81" s="31"/>
      <c r="C81" s="31"/>
      <c r="D81" s="31"/>
      <c r="E81" s="31"/>
      <c r="F81" s="31"/>
      <c r="G81" s="31"/>
      <c r="H81" s="31"/>
      <c r="I81" s="31"/>
      <c r="J81" s="3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</row>
    <row r="82" spans="2:35" ht="15" customHeight="1" x14ac:dyDescent="0.25">
      <c r="B82" s="31"/>
      <c r="C82" s="31"/>
      <c r="D82" s="31"/>
      <c r="E82" s="31"/>
      <c r="F82" s="31"/>
      <c r="G82" s="31"/>
      <c r="H82" s="31"/>
      <c r="I82" s="31"/>
      <c r="J82" s="31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</row>
    <row r="83" spans="2:35" ht="15" customHeight="1" x14ac:dyDescent="0.25">
      <c r="B83" s="31"/>
      <c r="C83" s="31"/>
      <c r="D83" s="31"/>
      <c r="E83" s="31"/>
      <c r="F83" s="31"/>
      <c r="G83" s="31"/>
      <c r="H83" s="31"/>
      <c r="I83" s="31"/>
      <c r="J83" s="31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</row>
    <row r="84" spans="2:35" ht="15" customHeight="1" x14ac:dyDescent="0.25">
      <c r="B84" s="31"/>
      <c r="C84" s="31"/>
      <c r="D84" s="31"/>
      <c r="E84" s="31"/>
      <c r="F84" s="31"/>
      <c r="G84" s="31"/>
      <c r="H84" s="31"/>
      <c r="I84" s="31"/>
      <c r="J84" s="31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</row>
    <row r="85" spans="2:35" ht="15" customHeight="1" x14ac:dyDescent="0.25">
      <c r="B85" s="31"/>
      <c r="C85" s="31"/>
      <c r="D85" s="31"/>
      <c r="E85" s="31"/>
      <c r="F85" s="31"/>
      <c r="G85" s="31"/>
      <c r="H85" s="31"/>
      <c r="I85" s="31"/>
      <c r="J85" s="31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</row>
    <row r="86" spans="2:35" ht="15" customHeight="1" x14ac:dyDescent="0.25">
      <c r="B86" s="31"/>
      <c r="C86" s="31"/>
      <c r="D86" s="31"/>
      <c r="E86" s="31"/>
      <c r="F86" s="31"/>
      <c r="G86" s="31"/>
      <c r="H86" s="31"/>
      <c r="I86" s="31"/>
      <c r="J86" s="31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</row>
    <row r="87" spans="2:35" ht="15" customHeight="1" x14ac:dyDescent="0.25">
      <c r="B87" s="31"/>
      <c r="C87" s="31"/>
      <c r="D87" s="31"/>
      <c r="E87" s="31"/>
      <c r="F87" s="31"/>
      <c r="G87" s="31"/>
      <c r="H87" s="31"/>
      <c r="I87" s="31"/>
      <c r="J87" s="31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</row>
    <row r="88" spans="2:35" ht="15" customHeight="1" x14ac:dyDescent="0.25">
      <c r="B88" s="31"/>
      <c r="C88" s="31"/>
      <c r="D88" s="31"/>
      <c r="E88" s="31"/>
      <c r="F88" s="31"/>
      <c r="G88" s="31"/>
      <c r="H88" s="31"/>
      <c r="I88" s="31"/>
      <c r="J88" s="31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</row>
    <row r="89" spans="2:35" ht="15" customHeight="1" x14ac:dyDescent="0.25">
      <c r="B89" s="31"/>
      <c r="C89" s="31"/>
      <c r="D89" s="31"/>
      <c r="E89" s="31"/>
      <c r="F89" s="31"/>
      <c r="G89" s="31"/>
      <c r="H89" s="31"/>
      <c r="I89" s="31"/>
      <c r="J89" s="31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</row>
    <row r="90" spans="2:35" ht="15" customHeight="1" x14ac:dyDescent="0.25">
      <c r="B90" s="31"/>
      <c r="C90" s="31"/>
      <c r="D90" s="31"/>
      <c r="E90" s="31"/>
      <c r="F90" s="31"/>
      <c r="G90" s="31"/>
      <c r="H90" s="31"/>
      <c r="I90" s="31"/>
      <c r="J90" s="31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</row>
    <row r="91" spans="2:35" ht="15" customHeight="1" x14ac:dyDescent="0.25">
      <c r="B91" s="31"/>
      <c r="C91" s="31"/>
      <c r="D91" s="31"/>
      <c r="E91" s="31"/>
      <c r="F91" s="31"/>
      <c r="G91" s="31"/>
      <c r="H91" s="31"/>
      <c r="I91" s="31"/>
      <c r="J91" s="3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</row>
    <row r="92" spans="2:35" ht="15" customHeight="1" x14ac:dyDescent="0.25">
      <c r="B92" s="31"/>
      <c r="C92" s="31"/>
      <c r="D92" s="31"/>
      <c r="E92" s="31"/>
      <c r="F92" s="31"/>
      <c r="G92" s="31"/>
      <c r="H92" s="31"/>
      <c r="I92" s="31"/>
      <c r="J92" s="31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</row>
    <row r="93" spans="2:35" ht="15" customHeight="1" x14ac:dyDescent="0.25">
      <c r="B93" s="31"/>
      <c r="C93" s="31"/>
      <c r="D93" s="31"/>
      <c r="E93" s="31"/>
      <c r="F93" s="31"/>
      <c r="G93" s="31"/>
      <c r="H93" s="31"/>
      <c r="I93" s="31"/>
      <c r="J93" s="31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</row>
    <row r="94" spans="2:35" ht="15" customHeight="1" x14ac:dyDescent="0.25">
      <c r="B94" s="31"/>
      <c r="C94" s="31"/>
      <c r="D94" s="31"/>
      <c r="E94" s="31"/>
      <c r="F94" s="31"/>
      <c r="G94" s="31"/>
      <c r="H94" s="31"/>
      <c r="I94" s="31"/>
      <c r="J94" s="31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</row>
    <row r="95" spans="2:35" ht="15" customHeight="1" x14ac:dyDescent="0.25">
      <c r="B95" s="31"/>
      <c r="C95" s="31"/>
      <c r="D95" s="31"/>
      <c r="E95" s="31"/>
      <c r="F95" s="31"/>
      <c r="G95" s="31"/>
      <c r="H95" s="31"/>
      <c r="I95" s="31"/>
      <c r="J95" s="31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</row>
    <row r="96" spans="2:35" ht="15" customHeight="1" x14ac:dyDescent="0.25">
      <c r="B96" s="31"/>
      <c r="C96" s="31"/>
      <c r="D96" s="31"/>
      <c r="E96" s="31"/>
      <c r="F96" s="31"/>
      <c r="G96" s="31"/>
      <c r="H96" s="31"/>
      <c r="I96" s="31"/>
      <c r="J96" s="31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</row>
    <row r="97" spans="2:35" ht="15" customHeight="1" x14ac:dyDescent="0.25">
      <c r="B97" s="31"/>
      <c r="C97" s="31"/>
      <c r="D97" s="31"/>
      <c r="E97" s="31"/>
      <c r="F97" s="31"/>
      <c r="G97" s="31"/>
      <c r="H97" s="31"/>
      <c r="I97" s="31"/>
      <c r="J97" s="31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</row>
    <row r="98" spans="2:35" ht="15" customHeight="1" x14ac:dyDescent="0.25">
      <c r="B98" s="31"/>
      <c r="C98" s="31"/>
      <c r="D98" s="31"/>
      <c r="E98" s="31"/>
      <c r="F98" s="31"/>
      <c r="G98" s="31"/>
      <c r="H98" s="31"/>
      <c r="I98" s="31"/>
      <c r="J98" s="31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</row>
    <row r="99" spans="2:35" ht="15" customHeight="1" x14ac:dyDescent="0.25">
      <c r="B99" s="31"/>
      <c r="C99" s="31"/>
      <c r="D99" s="31"/>
      <c r="E99" s="31"/>
      <c r="F99" s="31"/>
      <c r="G99" s="31"/>
      <c r="H99" s="31"/>
      <c r="I99" s="31"/>
      <c r="J99" s="31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</row>
    <row r="100" spans="2:35" ht="15" customHeight="1" x14ac:dyDescent="0.25">
      <c r="B100" s="31"/>
      <c r="C100" s="31"/>
      <c r="D100" s="31"/>
      <c r="E100" s="31"/>
      <c r="F100" s="31"/>
      <c r="G100" s="31"/>
      <c r="H100" s="31"/>
      <c r="I100" s="31"/>
      <c r="J100" s="31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</row>
  </sheetData>
  <mergeCells count="1">
    <mergeCell ref="H1:I1"/>
  </mergeCells>
  <conditionalFormatting sqref="B1">
    <cfRule type="cellIs" dxfId="17" priority="1" operator="equal">
      <formula>"Incomplete"</formula>
    </cfRule>
    <cfRule type="cellIs" dxfId="16" priority="2" operator="equal">
      <formula>"Flag for Review"</formula>
    </cfRule>
    <cfRule type="cellIs" dxfId="15" priority="3" operator="equal">
      <formula>"Finished"</formula>
    </cfRule>
  </conditionalFormatting>
  <dataValidations count="1">
    <dataValidation type="list" allowBlank="1" showInputMessage="1" showErrorMessage="1" sqref="B1">
      <formula1>"Finished, Flag for Review, Incomplete"</formula1>
    </dataValidation>
  </dataValidations>
  <hyperlinks>
    <hyperlink ref="H1" location="'Point Grid'!A8" display="Return to Point Grid"/>
    <hyperlink ref="H1:I1" location="'Point Grid'!A1" display="Return to Point Grid"/>
  </hyperlink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B101"/>
  <sheetViews>
    <sheetView workbookViewId="0"/>
  </sheetViews>
  <sheetFormatPr defaultColWidth="9.140625" defaultRowHeight="15" x14ac:dyDescent="0.25"/>
  <cols>
    <col min="1" max="1" width="9.140625" style="21"/>
    <col min="2" max="6" width="10.7109375" style="21" customWidth="1"/>
    <col min="7" max="7" width="8.7109375" style="21" customWidth="1"/>
    <col min="8" max="12" width="10.7109375" style="21" customWidth="1"/>
    <col min="13" max="13" width="11.140625" style="21" customWidth="1"/>
    <col min="14" max="16384" width="9.140625" style="21"/>
  </cols>
  <sheetData>
    <row r="1" spans="1:28" x14ac:dyDescent="0.25">
      <c r="A1" s="7">
        <v>26</v>
      </c>
      <c r="B1" s="27" t="s">
        <v>12</v>
      </c>
      <c r="C1" s="20"/>
      <c r="D1" s="20"/>
      <c r="E1" s="20"/>
      <c r="F1" s="20"/>
      <c r="G1" s="20"/>
      <c r="H1" s="20"/>
      <c r="I1" s="20"/>
      <c r="J1" s="20"/>
      <c r="K1" s="20"/>
      <c r="L1" s="384" t="s">
        <v>24</v>
      </c>
      <c r="M1" s="385"/>
      <c r="O1"/>
      <c r="P1"/>
      <c r="Q1"/>
      <c r="R1"/>
      <c r="S1"/>
      <c r="T1"/>
      <c r="U1"/>
      <c r="V1"/>
      <c r="W1"/>
      <c r="X1"/>
      <c r="Y1"/>
      <c r="Z1"/>
      <c r="AA1"/>
      <c r="AB1"/>
    </row>
    <row r="2" spans="1:28" x14ac:dyDescent="0.25">
      <c r="A2" s="22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23"/>
      <c r="O2"/>
      <c r="P2"/>
      <c r="Q2"/>
      <c r="R2"/>
      <c r="S2"/>
      <c r="T2"/>
      <c r="U2"/>
      <c r="V2"/>
      <c r="W2"/>
      <c r="X2"/>
      <c r="Y2"/>
      <c r="Z2"/>
      <c r="AA2"/>
      <c r="AB2"/>
    </row>
    <row r="3" spans="1:28" x14ac:dyDescent="0.25">
      <c r="A3" s="8" t="s">
        <v>13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8"/>
      <c r="N3" s="31"/>
      <c r="O3"/>
      <c r="P3"/>
      <c r="Q3"/>
      <c r="R3"/>
      <c r="S3"/>
      <c r="T3"/>
      <c r="U3"/>
      <c r="V3"/>
      <c r="W3"/>
      <c r="X3"/>
      <c r="Y3"/>
      <c r="Z3"/>
      <c r="AA3"/>
      <c r="AB3"/>
    </row>
    <row r="4" spans="1:28" x14ac:dyDescent="0.25">
      <c r="A4" s="9">
        <f>INDEX('Point Grid'!B:B,MATCH(A1,'Point Grid'!A:A,0))</f>
        <v>2.25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8"/>
      <c r="N4" s="31"/>
      <c r="O4"/>
      <c r="P4"/>
      <c r="Q4"/>
      <c r="R4"/>
      <c r="S4"/>
      <c r="T4"/>
      <c r="U4"/>
      <c r="V4"/>
      <c r="W4"/>
      <c r="X4"/>
      <c r="Y4"/>
      <c r="Z4"/>
      <c r="AA4"/>
      <c r="AB4"/>
    </row>
    <row r="5" spans="1:28" x14ac:dyDescent="0.25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8"/>
      <c r="N5" s="31"/>
      <c r="O5"/>
      <c r="P5"/>
      <c r="Q5"/>
      <c r="R5"/>
      <c r="S5"/>
      <c r="T5"/>
      <c r="U5"/>
      <c r="V5"/>
      <c r="W5"/>
      <c r="X5"/>
      <c r="Y5"/>
      <c r="Z5"/>
      <c r="AA5"/>
      <c r="AB5"/>
    </row>
    <row r="6" spans="1:28" x14ac:dyDescent="0.25">
      <c r="A6" s="25" t="s">
        <v>2</v>
      </c>
      <c r="B6" s="17" t="s">
        <v>350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8"/>
      <c r="N6" s="31"/>
      <c r="O6"/>
      <c r="P6"/>
      <c r="Q6"/>
      <c r="R6"/>
      <c r="S6"/>
      <c r="T6"/>
      <c r="U6"/>
      <c r="V6"/>
      <c r="W6"/>
      <c r="X6"/>
      <c r="Y6"/>
      <c r="Z6"/>
      <c r="AA6"/>
      <c r="AB6"/>
    </row>
    <row r="7" spans="1:28" ht="15.75" thickBot="1" x14ac:dyDescent="0.3">
      <c r="A7" s="9">
        <f>INDEX('Point Grid'!$C$8:$I$54,MATCH($A$1,'Point Grid'!$A$8:$A$54,0),MATCH(A6,'Point Grid'!$C$7:$I$7,0))</f>
        <v>0.25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8"/>
      <c r="N7" s="31"/>
      <c r="O7"/>
      <c r="P7"/>
      <c r="Q7"/>
      <c r="R7"/>
      <c r="S7"/>
      <c r="T7"/>
      <c r="U7"/>
      <c r="V7"/>
      <c r="W7"/>
      <c r="X7"/>
      <c r="Y7"/>
      <c r="Z7"/>
      <c r="AA7"/>
      <c r="AB7"/>
    </row>
    <row r="8" spans="1:28" ht="15.75" thickBot="1" x14ac:dyDescent="0.3">
      <c r="A8" s="5"/>
      <c r="B8" s="17"/>
      <c r="C8" s="28"/>
      <c r="D8" s="28"/>
      <c r="E8" s="28"/>
      <c r="F8" s="28"/>
      <c r="G8" s="28"/>
      <c r="H8" s="28"/>
      <c r="I8" s="28"/>
      <c r="J8" s="28"/>
      <c r="K8" s="28"/>
      <c r="L8" s="28"/>
      <c r="M8" s="18"/>
      <c r="N8" s="31"/>
      <c r="O8"/>
      <c r="P8"/>
      <c r="Q8"/>
      <c r="R8"/>
      <c r="S8"/>
      <c r="T8"/>
      <c r="U8"/>
      <c r="V8"/>
      <c r="W8"/>
      <c r="X8"/>
      <c r="Y8"/>
      <c r="Z8"/>
      <c r="AA8"/>
      <c r="AB8"/>
    </row>
    <row r="9" spans="1:28" x14ac:dyDescent="0.25">
      <c r="A9" s="25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8"/>
      <c r="N9" s="31"/>
      <c r="O9"/>
      <c r="P9"/>
      <c r="Q9"/>
      <c r="R9"/>
      <c r="S9"/>
      <c r="T9"/>
      <c r="U9"/>
      <c r="V9"/>
      <c r="W9"/>
      <c r="X9"/>
      <c r="Y9"/>
      <c r="Z9"/>
      <c r="AA9"/>
      <c r="AB9"/>
    </row>
    <row r="10" spans="1:28" x14ac:dyDescent="0.25">
      <c r="A10" s="25" t="s">
        <v>3</v>
      </c>
      <c r="B10" s="17" t="s">
        <v>351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8"/>
      <c r="N10" s="31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28" ht="15.75" thickBot="1" x14ac:dyDescent="0.3">
      <c r="A11" s="9">
        <f>INDEX('Point Grid'!$C$8:$I$54,MATCH($A$1,'Point Grid'!$A$8:$A$54,0),MATCH(A10,'Point Grid'!$C$7:$I$7,0))</f>
        <v>0.25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8"/>
      <c r="N11" s="3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28" ht="15.75" thickBot="1" x14ac:dyDescent="0.3">
      <c r="A12" s="5"/>
      <c r="B12" s="17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18"/>
      <c r="N12" s="31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28" x14ac:dyDescent="0.25">
      <c r="A13" s="25"/>
      <c r="B13" s="17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18"/>
      <c r="N13" s="31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28" x14ac:dyDescent="0.25">
      <c r="A14" s="25" t="s">
        <v>4</v>
      </c>
      <c r="B14" s="116" t="s">
        <v>352</v>
      </c>
      <c r="C14" s="116"/>
      <c r="D14" s="116"/>
      <c r="E14" s="116"/>
      <c r="F14" s="116"/>
      <c r="G14" s="280" t="s">
        <v>314</v>
      </c>
      <c r="H14" s="166" t="s">
        <v>303</v>
      </c>
      <c r="I14" s="281">
        <v>2025</v>
      </c>
      <c r="J14" s="89"/>
      <c r="K14" s="17"/>
      <c r="L14" s="17"/>
      <c r="M14" s="18"/>
      <c r="N14" s="31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28" ht="15.75" thickBot="1" x14ac:dyDescent="0.3">
      <c r="A15" s="9">
        <f>INDEX('Point Grid'!$C$8:$I$54,MATCH($A$1,'Point Grid'!$A$8:$A$54,0),MATCH(A14,'Point Grid'!$C$7:$I$7,0))</f>
        <v>1.75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8"/>
      <c r="N15" s="31"/>
      <c r="O15"/>
      <c r="P15"/>
      <c r="Q15"/>
      <c r="R15"/>
      <c r="S15"/>
      <c r="T15"/>
      <c r="U15"/>
      <c r="V15"/>
      <c r="W15"/>
      <c r="X15"/>
      <c r="Y15"/>
      <c r="Z15"/>
      <c r="AA15"/>
      <c r="AB15"/>
    </row>
    <row r="16" spans="1:28" ht="15.75" thickBot="1" x14ac:dyDescent="0.3">
      <c r="A16" s="5"/>
      <c r="B16" s="322"/>
      <c r="C16" s="323" t="s">
        <v>353</v>
      </c>
      <c r="D16" s="323"/>
      <c r="E16" s="323"/>
      <c r="F16" s="324"/>
      <c r="G16" s="116"/>
      <c r="H16" s="322"/>
      <c r="I16" s="323" t="s">
        <v>354</v>
      </c>
      <c r="J16" s="323"/>
      <c r="K16" s="323"/>
      <c r="L16" s="324"/>
      <c r="M16" s="18"/>
      <c r="N16" s="31"/>
      <c r="O16"/>
      <c r="P16"/>
      <c r="Q16"/>
      <c r="R16"/>
      <c r="S16"/>
      <c r="T16"/>
      <c r="U16"/>
      <c r="V16"/>
      <c r="W16"/>
      <c r="X16"/>
      <c r="Y16"/>
      <c r="Z16"/>
      <c r="AA16"/>
      <c r="AB16"/>
    </row>
    <row r="17" spans="1:28" x14ac:dyDescent="0.25">
      <c r="A17" s="22"/>
      <c r="B17" s="325" t="s">
        <v>73</v>
      </c>
      <c r="C17" s="326">
        <v>12</v>
      </c>
      <c r="D17" s="326">
        <v>24</v>
      </c>
      <c r="E17" s="326">
        <v>36</v>
      </c>
      <c r="F17" s="260">
        <v>48</v>
      </c>
      <c r="G17" s="251"/>
      <c r="H17" s="325" t="s">
        <v>73</v>
      </c>
      <c r="I17" s="326">
        <v>12</v>
      </c>
      <c r="J17" s="326">
        <v>24</v>
      </c>
      <c r="K17" s="326">
        <v>36</v>
      </c>
      <c r="L17" s="260">
        <v>48</v>
      </c>
      <c r="M17" s="18"/>
      <c r="N17" s="31"/>
      <c r="O17"/>
      <c r="P17"/>
      <c r="Q17"/>
      <c r="R17"/>
      <c r="S17"/>
      <c r="T17"/>
      <c r="U17"/>
      <c r="V17"/>
      <c r="W17"/>
      <c r="X17"/>
      <c r="Y17"/>
      <c r="Z17"/>
      <c r="AA17"/>
      <c r="AB17"/>
    </row>
    <row r="18" spans="1:28" ht="15" customHeight="1" x14ac:dyDescent="0.25">
      <c r="A18" s="22"/>
      <c r="B18" s="327">
        <v>2022</v>
      </c>
      <c r="C18" s="273">
        <v>2520</v>
      </c>
      <c r="D18" s="273">
        <v>5784</v>
      </c>
      <c r="E18" s="273">
        <v>7796</v>
      </c>
      <c r="F18" s="276">
        <v>7409</v>
      </c>
      <c r="G18" s="65"/>
      <c r="H18" s="327">
        <f>B18</f>
        <v>2022</v>
      </c>
      <c r="I18" s="273">
        <v>5198</v>
      </c>
      <c r="J18" s="273">
        <v>7425</v>
      </c>
      <c r="K18" s="273">
        <v>7311</v>
      </c>
      <c r="L18" s="276">
        <v>7409</v>
      </c>
      <c r="M18" s="18"/>
      <c r="N18" s="31"/>
      <c r="O18"/>
      <c r="P18"/>
      <c r="Q18"/>
      <c r="R18"/>
      <c r="S18"/>
      <c r="T18"/>
      <c r="U18"/>
      <c r="V18"/>
      <c r="W18"/>
      <c r="X18"/>
      <c r="Y18"/>
      <c r="Z18"/>
      <c r="AA18"/>
      <c r="AB18"/>
    </row>
    <row r="19" spans="1:28" ht="15" customHeight="1" x14ac:dyDescent="0.25">
      <c r="A19" s="22"/>
      <c r="B19" s="327">
        <f>B18+1</f>
        <v>2023</v>
      </c>
      <c r="C19" s="273">
        <v>2954</v>
      </c>
      <c r="D19" s="273">
        <v>6257</v>
      </c>
      <c r="E19" s="273">
        <v>7585</v>
      </c>
      <c r="F19" s="276"/>
      <c r="G19" s="116"/>
      <c r="H19" s="327">
        <f>H18+1</f>
        <v>2023</v>
      </c>
      <c r="I19" s="273">
        <v>5344</v>
      </c>
      <c r="J19" s="273">
        <v>7409</v>
      </c>
      <c r="K19" s="273">
        <v>7639</v>
      </c>
      <c r="L19" s="276"/>
      <c r="M19" s="18"/>
      <c r="N19" s="31"/>
      <c r="O19"/>
      <c r="P19"/>
      <c r="Q19"/>
      <c r="R19"/>
      <c r="S19"/>
      <c r="T19"/>
      <c r="U19"/>
      <c r="V19"/>
      <c r="W19"/>
      <c r="X19"/>
      <c r="Y19"/>
      <c r="Z19"/>
      <c r="AA19"/>
      <c r="AB19"/>
    </row>
    <row r="20" spans="1:28" ht="15" customHeight="1" x14ac:dyDescent="0.25">
      <c r="A20" s="22"/>
      <c r="B20" s="327">
        <f>B19+1</f>
        <v>2024</v>
      </c>
      <c r="C20" s="273">
        <v>2712</v>
      </c>
      <c r="D20" s="273">
        <v>6107</v>
      </c>
      <c r="E20" s="273"/>
      <c r="F20" s="276"/>
      <c r="G20" s="116"/>
      <c r="H20" s="327">
        <f>H19+1</f>
        <v>2024</v>
      </c>
      <c r="I20" s="273">
        <v>5292</v>
      </c>
      <c r="J20" s="273">
        <v>8505</v>
      </c>
      <c r="K20" s="273"/>
      <c r="L20" s="276"/>
      <c r="M20" s="18"/>
      <c r="N20" s="31"/>
      <c r="O20"/>
      <c r="P20"/>
      <c r="Q20"/>
      <c r="R20"/>
      <c r="S20"/>
      <c r="T20"/>
      <c r="U20"/>
      <c r="V20"/>
      <c r="W20"/>
      <c r="X20"/>
      <c r="Y20"/>
      <c r="Z20"/>
      <c r="AA20"/>
      <c r="AB20"/>
    </row>
    <row r="21" spans="1:28" ht="15" customHeight="1" x14ac:dyDescent="0.25">
      <c r="A21" s="22"/>
      <c r="B21" s="328">
        <f>B20+1</f>
        <v>2025</v>
      </c>
      <c r="C21" s="269">
        <v>2728</v>
      </c>
      <c r="D21" s="269"/>
      <c r="E21" s="269"/>
      <c r="F21" s="270"/>
      <c r="G21" s="116"/>
      <c r="H21" s="328">
        <f>H20+1</f>
        <v>2025</v>
      </c>
      <c r="I21" s="269">
        <v>6615</v>
      </c>
      <c r="J21" s="269"/>
      <c r="K21" s="269"/>
      <c r="L21" s="270"/>
      <c r="M21" s="18"/>
      <c r="N21" s="31"/>
      <c r="O21"/>
      <c r="P21"/>
      <c r="Q21"/>
      <c r="R21"/>
      <c r="S21"/>
      <c r="T21"/>
      <c r="U21"/>
      <c r="V21"/>
      <c r="W21"/>
      <c r="X21"/>
      <c r="Y21"/>
      <c r="Z21"/>
      <c r="AA21"/>
      <c r="AB21"/>
    </row>
    <row r="22" spans="1:28" ht="15" customHeight="1" x14ac:dyDescent="0.25">
      <c r="A22" s="22"/>
      <c r="B22" s="116"/>
      <c r="C22" s="116"/>
      <c r="D22" s="116"/>
      <c r="E22" s="116"/>
      <c r="F22" s="116"/>
      <c r="G22" s="116"/>
      <c r="H22" s="116"/>
      <c r="I22" s="116"/>
      <c r="J22" s="116"/>
      <c r="K22" s="116"/>
      <c r="L22" s="116"/>
      <c r="M22" s="18"/>
      <c r="N22" s="31"/>
      <c r="O22"/>
      <c r="P22"/>
      <c r="Q22"/>
      <c r="R22"/>
      <c r="S22"/>
      <c r="T22"/>
      <c r="U22"/>
      <c r="V22"/>
      <c r="W22"/>
      <c r="X22"/>
      <c r="Y22"/>
      <c r="Z22"/>
      <c r="AA22"/>
      <c r="AB22"/>
    </row>
    <row r="23" spans="1:28" ht="15" customHeight="1" x14ac:dyDescent="0.25">
      <c r="A23" s="22"/>
      <c r="B23" s="322"/>
      <c r="C23" s="329" t="s">
        <v>355</v>
      </c>
      <c r="D23" s="323"/>
      <c r="E23" s="323"/>
      <c r="F23" s="324"/>
      <c r="G23" s="116"/>
      <c r="H23" s="322"/>
      <c r="I23" s="329" t="s">
        <v>356</v>
      </c>
      <c r="J23" s="323"/>
      <c r="K23" s="323"/>
      <c r="L23" s="324"/>
      <c r="M23" s="18"/>
      <c r="N23" s="31"/>
      <c r="O23"/>
      <c r="P23"/>
      <c r="Q23"/>
      <c r="R23"/>
      <c r="S23"/>
      <c r="T23"/>
      <c r="U23"/>
      <c r="V23"/>
      <c r="W23"/>
      <c r="X23"/>
      <c r="Y23"/>
      <c r="Z23"/>
      <c r="AA23"/>
      <c r="AB23"/>
    </row>
    <row r="24" spans="1:28" ht="15" customHeight="1" x14ac:dyDescent="0.25">
      <c r="A24" s="22"/>
      <c r="B24" s="325" t="s">
        <v>73</v>
      </c>
      <c r="C24" s="326">
        <v>12</v>
      </c>
      <c r="D24" s="326">
        <v>24</v>
      </c>
      <c r="E24" s="326">
        <v>36</v>
      </c>
      <c r="F24" s="260">
        <v>48</v>
      </c>
      <c r="G24" s="116"/>
      <c r="H24" s="325" t="s">
        <v>73</v>
      </c>
      <c r="I24" s="326">
        <v>12</v>
      </c>
      <c r="J24" s="326">
        <v>24</v>
      </c>
      <c r="K24" s="326">
        <v>36</v>
      </c>
      <c r="L24" s="260">
        <v>48</v>
      </c>
      <c r="M24" s="18"/>
      <c r="N24" s="31"/>
      <c r="O24"/>
      <c r="P24"/>
      <c r="Q24"/>
      <c r="R24"/>
      <c r="S24"/>
      <c r="T24"/>
      <c r="U24"/>
      <c r="V24"/>
      <c r="W24"/>
      <c r="X24"/>
      <c r="Y24"/>
      <c r="Z24"/>
      <c r="AA24"/>
      <c r="AB24"/>
    </row>
    <row r="25" spans="1:28" ht="15" customHeight="1" x14ac:dyDescent="0.25">
      <c r="A25" s="22"/>
      <c r="B25" s="327">
        <f>B18</f>
        <v>2022</v>
      </c>
      <c r="C25" s="273">
        <v>344</v>
      </c>
      <c r="D25" s="273">
        <v>458</v>
      </c>
      <c r="E25" s="273">
        <v>523</v>
      </c>
      <c r="F25" s="276">
        <v>502</v>
      </c>
      <c r="G25" s="116"/>
      <c r="H25" s="327">
        <f>B18</f>
        <v>2022</v>
      </c>
      <c r="I25" s="273">
        <v>491</v>
      </c>
      <c r="J25" s="273">
        <v>492</v>
      </c>
      <c r="K25" s="273">
        <v>518</v>
      </c>
      <c r="L25" s="276">
        <v>523</v>
      </c>
      <c r="M25" s="18"/>
      <c r="N25" s="31"/>
      <c r="O25"/>
      <c r="P25"/>
      <c r="Q25"/>
      <c r="R25"/>
      <c r="S25"/>
      <c r="T25"/>
      <c r="U25"/>
      <c r="V25"/>
      <c r="W25"/>
      <c r="X25"/>
      <c r="Y25"/>
      <c r="Z25"/>
      <c r="AA25"/>
      <c r="AB25"/>
    </row>
    <row r="26" spans="1:28" ht="15" customHeight="1" x14ac:dyDescent="0.25">
      <c r="A26" s="22"/>
      <c r="B26" s="327">
        <f>B25+1</f>
        <v>2023</v>
      </c>
      <c r="C26" s="273">
        <v>371</v>
      </c>
      <c r="D26" s="273">
        <v>519</v>
      </c>
      <c r="E26" s="273">
        <v>510</v>
      </c>
      <c r="F26" s="276"/>
      <c r="G26" s="116"/>
      <c r="H26" s="327">
        <f>H25+1</f>
        <v>2023</v>
      </c>
      <c r="I26" s="273">
        <v>489</v>
      </c>
      <c r="J26" s="273">
        <v>545</v>
      </c>
      <c r="K26" s="273">
        <v>556</v>
      </c>
      <c r="L26" s="276"/>
      <c r="M26" s="18"/>
      <c r="N26" s="31"/>
      <c r="O26"/>
      <c r="P26"/>
      <c r="Q26"/>
      <c r="R26"/>
      <c r="S26"/>
      <c r="T26"/>
      <c r="U26"/>
      <c r="V26"/>
      <c r="W26"/>
      <c r="X26"/>
      <c r="Y26"/>
      <c r="Z26"/>
      <c r="AA26"/>
      <c r="AB26"/>
    </row>
    <row r="27" spans="1:28" ht="15" customHeight="1" x14ac:dyDescent="0.25">
      <c r="A27" s="22"/>
      <c r="B27" s="327">
        <f>B26+1</f>
        <v>2024</v>
      </c>
      <c r="C27" s="273">
        <v>334</v>
      </c>
      <c r="D27" s="273">
        <v>446</v>
      </c>
      <c r="E27" s="273"/>
      <c r="F27" s="276"/>
      <c r="G27" s="116"/>
      <c r="H27" s="327">
        <f>H26+1</f>
        <v>2024</v>
      </c>
      <c r="I27" s="273">
        <v>487</v>
      </c>
      <c r="J27" s="273">
        <v>485</v>
      </c>
      <c r="K27" s="273"/>
      <c r="L27" s="276"/>
      <c r="M27" s="18"/>
      <c r="N27" s="31"/>
      <c r="O27"/>
      <c r="P27"/>
      <c r="Q27"/>
      <c r="R27"/>
      <c r="S27"/>
      <c r="T27"/>
      <c r="U27"/>
      <c r="V27"/>
      <c r="W27"/>
      <c r="X27"/>
      <c r="Y27"/>
      <c r="Z27"/>
      <c r="AA27"/>
      <c r="AB27"/>
    </row>
    <row r="28" spans="1:28" ht="15" customHeight="1" x14ac:dyDescent="0.25">
      <c r="A28" s="22"/>
      <c r="B28" s="328">
        <f>B27+1</f>
        <v>2025</v>
      </c>
      <c r="C28" s="269">
        <v>354</v>
      </c>
      <c r="D28" s="269"/>
      <c r="E28" s="269"/>
      <c r="F28" s="270"/>
      <c r="G28" s="116"/>
      <c r="H28" s="328">
        <f>H27+1</f>
        <v>2025</v>
      </c>
      <c r="I28" s="269">
        <v>501</v>
      </c>
      <c r="J28" s="269"/>
      <c r="K28" s="269"/>
      <c r="L28" s="270"/>
      <c r="M28" s="18"/>
      <c r="N28" s="31"/>
      <c r="O28"/>
      <c r="P28"/>
      <c r="Q28"/>
      <c r="R28"/>
      <c r="S28"/>
      <c r="T28"/>
      <c r="U28"/>
      <c r="V28"/>
      <c r="W28"/>
      <c r="X28"/>
      <c r="Y28"/>
      <c r="Z28"/>
      <c r="AA28"/>
      <c r="AB28"/>
    </row>
    <row r="29" spans="1:28" ht="15" customHeight="1" x14ac:dyDescent="0.25">
      <c r="A29" s="22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8"/>
      <c r="N29" s="31"/>
      <c r="O29"/>
      <c r="P29"/>
      <c r="Q29"/>
      <c r="R29"/>
      <c r="S29"/>
      <c r="T29"/>
      <c r="U29"/>
      <c r="V29"/>
      <c r="W29"/>
      <c r="X29"/>
      <c r="Y29"/>
      <c r="Z29"/>
      <c r="AA29"/>
      <c r="AB29"/>
    </row>
    <row r="30" spans="1:28" ht="15" customHeight="1" x14ac:dyDescent="0.25">
      <c r="A30" s="22"/>
      <c r="B30" s="331" t="s">
        <v>357</v>
      </c>
      <c r="C30" s="332"/>
      <c r="D30" s="332"/>
      <c r="E30" s="333"/>
      <c r="F30" s="334">
        <v>0.04</v>
      </c>
      <c r="G30" s="17"/>
      <c r="H30" s="17"/>
      <c r="I30" s="17"/>
      <c r="J30" s="17"/>
      <c r="K30" s="17"/>
      <c r="L30" s="17"/>
      <c r="M30" s="18"/>
      <c r="N30" s="31"/>
      <c r="O30"/>
      <c r="P30"/>
      <c r="Q30"/>
      <c r="R30"/>
      <c r="S30"/>
      <c r="T30"/>
      <c r="U30"/>
      <c r="V30"/>
      <c r="W30"/>
      <c r="X30"/>
      <c r="Y30"/>
      <c r="Z30"/>
      <c r="AA30"/>
      <c r="AB30"/>
    </row>
    <row r="31" spans="1:28" ht="15" customHeight="1" x14ac:dyDescent="0.25">
      <c r="A31" s="22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8"/>
      <c r="N31" s="31"/>
      <c r="O31"/>
      <c r="P31"/>
      <c r="Q31"/>
      <c r="R31"/>
      <c r="S31"/>
      <c r="T31"/>
      <c r="U31"/>
      <c r="V31"/>
      <c r="W31"/>
      <c r="X31"/>
      <c r="Y31"/>
      <c r="Z31"/>
      <c r="AA31"/>
      <c r="AB31"/>
    </row>
    <row r="32" spans="1:28" ht="15" customHeight="1" x14ac:dyDescent="0.25">
      <c r="A32" s="22"/>
      <c r="B32" s="330" t="s">
        <v>358</v>
      </c>
      <c r="C32" s="343" t="s">
        <v>361</v>
      </c>
      <c r="D32" s="17"/>
      <c r="E32" s="17"/>
      <c r="F32" s="17"/>
      <c r="G32" s="17"/>
      <c r="H32" s="17"/>
      <c r="I32" s="17"/>
      <c r="J32" s="17"/>
      <c r="K32" s="17"/>
      <c r="L32" s="17"/>
      <c r="M32" s="18"/>
      <c r="N32" s="31"/>
      <c r="O32"/>
      <c r="P32"/>
      <c r="Q32"/>
      <c r="R32"/>
      <c r="S32"/>
      <c r="T32"/>
      <c r="U32"/>
      <c r="V32"/>
      <c r="W32"/>
      <c r="X32"/>
      <c r="Y32"/>
      <c r="Z32"/>
      <c r="AA32"/>
      <c r="AB32"/>
    </row>
    <row r="33" spans="1:28" ht="15" customHeight="1" x14ac:dyDescent="0.25">
      <c r="A33" s="22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8"/>
      <c r="N33" s="31"/>
      <c r="O33"/>
      <c r="P33"/>
      <c r="Q33"/>
      <c r="R33"/>
      <c r="S33"/>
      <c r="T33"/>
      <c r="U33"/>
      <c r="V33"/>
      <c r="W33"/>
      <c r="X33"/>
      <c r="Y33"/>
      <c r="Z33"/>
      <c r="AA33"/>
      <c r="AB33"/>
    </row>
    <row r="34" spans="1:28" ht="15" customHeight="1" x14ac:dyDescent="0.25">
      <c r="A34" s="22"/>
      <c r="B34" s="322"/>
      <c r="C34" s="323" t="s">
        <v>360</v>
      </c>
      <c r="D34" s="323"/>
      <c r="E34" s="323"/>
      <c r="F34" s="324"/>
      <c r="G34" s="17"/>
      <c r="H34" s="322"/>
      <c r="I34" s="323" t="s">
        <v>359</v>
      </c>
      <c r="J34" s="323"/>
      <c r="K34" s="323"/>
      <c r="L34" s="324"/>
      <c r="M34" s="18"/>
      <c r="N34" s="31"/>
      <c r="O34"/>
      <c r="P34"/>
      <c r="Q34"/>
      <c r="R34"/>
      <c r="S34"/>
      <c r="T34"/>
      <c r="U34"/>
      <c r="V34"/>
      <c r="W34"/>
      <c r="X34"/>
      <c r="Y34"/>
      <c r="Z34"/>
      <c r="AA34"/>
      <c r="AB34"/>
    </row>
    <row r="35" spans="1:28" ht="15" customHeight="1" x14ac:dyDescent="0.25">
      <c r="A35" s="22"/>
      <c r="B35" s="325" t="s">
        <v>73</v>
      </c>
      <c r="C35" s="326">
        <v>12</v>
      </c>
      <c r="D35" s="326">
        <v>24</v>
      </c>
      <c r="E35" s="326">
        <v>36</v>
      </c>
      <c r="F35" s="260">
        <v>48</v>
      </c>
      <c r="G35" s="17"/>
      <c r="H35" s="325" t="s">
        <v>73</v>
      </c>
      <c r="I35" s="326">
        <v>12</v>
      </c>
      <c r="J35" s="326">
        <v>24</v>
      </c>
      <c r="K35" s="326">
        <v>36</v>
      </c>
      <c r="L35" s="260">
        <v>48</v>
      </c>
      <c r="M35" s="18"/>
      <c r="N35" s="31"/>
      <c r="O35"/>
      <c r="P35"/>
      <c r="Q35"/>
      <c r="R35"/>
      <c r="S35"/>
      <c r="T35"/>
      <c r="U35"/>
      <c r="V35"/>
      <c r="W35"/>
      <c r="X35"/>
      <c r="Y35"/>
      <c r="Z35"/>
      <c r="AA35"/>
      <c r="AB35"/>
    </row>
    <row r="36" spans="1:28" ht="15" customHeight="1" x14ac:dyDescent="0.25">
      <c r="A36" s="22"/>
      <c r="B36" s="327">
        <v>2022</v>
      </c>
      <c r="C36" s="335">
        <v>18.2</v>
      </c>
      <c r="D36" s="335">
        <v>48.3</v>
      </c>
      <c r="E36" s="335">
        <v>97</v>
      </c>
      <c r="F36" s="336">
        <v>0</v>
      </c>
      <c r="G36" s="17"/>
      <c r="H36" s="327">
        <v>2022</v>
      </c>
      <c r="I36" s="335">
        <v>23.5</v>
      </c>
      <c r="J36" s="335">
        <v>56.9</v>
      </c>
      <c r="K36" s="335">
        <v>1.2</v>
      </c>
      <c r="L36" s="336">
        <v>0</v>
      </c>
      <c r="M36" s="18"/>
      <c r="N36" s="31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1:28" ht="15" customHeight="1" x14ac:dyDescent="0.25">
      <c r="A37" s="22"/>
      <c r="B37" s="327">
        <v>2023</v>
      </c>
      <c r="C37" s="337">
        <v>20.3</v>
      </c>
      <c r="D37" s="335">
        <v>44.3</v>
      </c>
      <c r="E37" s="338">
        <v>1.2</v>
      </c>
      <c r="F37" s="339"/>
      <c r="G37" s="17"/>
      <c r="H37" s="327">
        <v>2023</v>
      </c>
      <c r="I37" s="337">
        <v>24.4</v>
      </c>
      <c r="J37" s="335">
        <v>59.1</v>
      </c>
      <c r="K37" s="338">
        <v>1.2</v>
      </c>
      <c r="L37" s="339"/>
      <c r="M37" s="18"/>
      <c r="N37" s="31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1:28" ht="15" customHeight="1" x14ac:dyDescent="0.25">
      <c r="A38" s="22"/>
      <c r="B38" s="327">
        <v>2024</v>
      </c>
      <c r="C38" s="335">
        <v>16.899999999999999</v>
      </c>
      <c r="D38" s="338">
        <v>61.5</v>
      </c>
      <c r="E38" s="335"/>
      <c r="F38" s="339"/>
      <c r="G38" s="17"/>
      <c r="H38" s="327">
        <v>2024</v>
      </c>
      <c r="I38" s="335">
        <v>25.4</v>
      </c>
      <c r="J38" s="338">
        <v>61.5</v>
      </c>
      <c r="K38" s="335"/>
      <c r="L38" s="339"/>
      <c r="M38" s="18"/>
      <c r="N38" s="31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1:28" ht="15" customHeight="1" x14ac:dyDescent="0.25">
      <c r="A39" s="22"/>
      <c r="B39" s="328">
        <v>2025</v>
      </c>
      <c r="C39" s="340">
        <v>26.4</v>
      </c>
      <c r="D39" s="341"/>
      <c r="E39" s="341"/>
      <c r="F39" s="342"/>
      <c r="G39" s="17"/>
      <c r="H39" s="328">
        <v>2025</v>
      </c>
      <c r="I39" s="340">
        <v>26.4</v>
      </c>
      <c r="J39" s="341"/>
      <c r="K39" s="341"/>
      <c r="L39" s="342"/>
      <c r="M39" s="18"/>
      <c r="N39" s="31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1:28" ht="15" customHeight="1" x14ac:dyDescent="0.25">
      <c r="A40" s="22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8"/>
      <c r="N40" s="31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1:28" ht="15" customHeight="1" x14ac:dyDescent="0.25">
      <c r="A41" s="22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8"/>
      <c r="N41" s="3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1:28" ht="15" customHeight="1" x14ac:dyDescent="0.25">
      <c r="A42" s="22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8"/>
      <c r="N42" s="31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1:28" ht="15" customHeight="1" x14ac:dyDescent="0.25">
      <c r="A43" s="22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8"/>
      <c r="N43" s="31"/>
      <c r="O43"/>
      <c r="P43"/>
      <c r="Q43"/>
      <c r="R43"/>
      <c r="S43"/>
      <c r="T43"/>
      <c r="U43"/>
      <c r="V43"/>
      <c r="W43"/>
      <c r="X43"/>
      <c r="Y43"/>
      <c r="Z43"/>
      <c r="AA43"/>
      <c r="AB43"/>
    </row>
    <row r="44" spans="1:28" ht="15" customHeight="1" x14ac:dyDescent="0.25">
      <c r="A44" s="22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8"/>
      <c r="N44" s="31"/>
      <c r="O44"/>
      <c r="P44"/>
      <c r="Q44"/>
      <c r="R44"/>
      <c r="S44"/>
      <c r="T44"/>
      <c r="U44"/>
      <c r="V44"/>
      <c r="W44"/>
      <c r="X44"/>
      <c r="Y44"/>
      <c r="Z44"/>
      <c r="AA44"/>
      <c r="AB44"/>
    </row>
    <row r="45" spans="1:28" ht="15" customHeight="1" x14ac:dyDescent="0.25">
      <c r="A45" s="22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8"/>
      <c r="N45" s="31"/>
      <c r="O45"/>
      <c r="P45"/>
      <c r="Q45"/>
      <c r="R45"/>
      <c r="S45"/>
      <c r="T45"/>
      <c r="U45"/>
      <c r="V45"/>
      <c r="W45"/>
      <c r="X45"/>
      <c r="Y45"/>
      <c r="Z45"/>
      <c r="AA45"/>
      <c r="AB45"/>
    </row>
    <row r="46" spans="1:28" ht="15" customHeight="1" x14ac:dyDescent="0.25">
      <c r="A46" s="22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8"/>
      <c r="N46" s="31"/>
      <c r="O46"/>
      <c r="P46"/>
      <c r="Q46"/>
      <c r="R46"/>
      <c r="S46"/>
      <c r="T46"/>
      <c r="U46"/>
      <c r="V46"/>
      <c r="W46"/>
      <c r="X46"/>
      <c r="Y46"/>
      <c r="Z46"/>
      <c r="AA46"/>
      <c r="AB46"/>
    </row>
    <row r="47" spans="1:28" ht="15" customHeight="1" x14ac:dyDescent="0.25">
      <c r="A47" s="22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8"/>
      <c r="N47" s="31"/>
      <c r="O47"/>
      <c r="P47"/>
      <c r="Q47"/>
      <c r="R47"/>
      <c r="S47"/>
      <c r="T47"/>
      <c r="U47"/>
      <c r="V47"/>
      <c r="W47"/>
      <c r="X47"/>
      <c r="Y47"/>
      <c r="Z47"/>
      <c r="AA47"/>
      <c r="AB47"/>
    </row>
    <row r="48" spans="1:28" ht="15" customHeight="1" x14ac:dyDescent="0.25">
      <c r="A48" s="22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8"/>
      <c r="N48" s="31"/>
      <c r="O48"/>
      <c r="P48"/>
      <c r="Q48"/>
      <c r="R48"/>
      <c r="S48"/>
      <c r="T48"/>
      <c r="U48"/>
      <c r="V48"/>
      <c r="W48"/>
      <c r="X48"/>
      <c r="Y48"/>
      <c r="Z48"/>
      <c r="AA48"/>
      <c r="AB48"/>
    </row>
    <row r="49" spans="1:28" ht="15" customHeight="1" x14ac:dyDescent="0.25">
      <c r="A49" s="22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8"/>
      <c r="N49" s="31"/>
      <c r="O49"/>
      <c r="P49"/>
      <c r="Q49"/>
      <c r="R49"/>
      <c r="S49"/>
      <c r="T49"/>
      <c r="U49"/>
      <c r="V49"/>
      <c r="W49"/>
      <c r="X49"/>
      <c r="Y49"/>
      <c r="Z49"/>
      <c r="AA49"/>
      <c r="AB49"/>
    </row>
    <row r="50" spans="1:28" ht="15" customHeight="1" x14ac:dyDescent="0.25">
      <c r="A50" s="22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8"/>
      <c r="N50" s="31"/>
      <c r="O50"/>
      <c r="P50"/>
      <c r="Q50"/>
      <c r="R50"/>
      <c r="S50"/>
      <c r="T50"/>
      <c r="U50"/>
      <c r="V50"/>
      <c r="W50"/>
      <c r="X50"/>
      <c r="Y50"/>
      <c r="Z50"/>
      <c r="AA50"/>
      <c r="AB50"/>
    </row>
    <row r="51" spans="1:28" ht="15" customHeight="1" x14ac:dyDescent="0.25">
      <c r="A51" s="22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8"/>
      <c r="N51" s="31"/>
      <c r="O51"/>
      <c r="P51"/>
      <c r="Q51"/>
      <c r="R51"/>
      <c r="S51"/>
      <c r="T51"/>
      <c r="U51"/>
      <c r="V51"/>
      <c r="W51"/>
      <c r="X51"/>
      <c r="Y51"/>
      <c r="Z51"/>
      <c r="AA51"/>
      <c r="AB51"/>
    </row>
    <row r="52" spans="1:28" ht="15" customHeight="1" x14ac:dyDescent="0.25">
      <c r="A52" s="22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8"/>
      <c r="N52" s="31"/>
      <c r="O52"/>
      <c r="P52"/>
      <c r="Q52"/>
      <c r="R52"/>
      <c r="S52"/>
      <c r="T52"/>
      <c r="U52"/>
      <c r="V52"/>
      <c r="W52"/>
      <c r="X52"/>
      <c r="Y52"/>
      <c r="Z52"/>
      <c r="AA52"/>
      <c r="AB52"/>
    </row>
    <row r="53" spans="1:28" ht="15" customHeight="1" x14ac:dyDescent="0.25">
      <c r="A53" s="22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8"/>
      <c r="N53" s="31"/>
      <c r="O53"/>
      <c r="P53"/>
      <c r="Q53"/>
      <c r="R53"/>
      <c r="S53"/>
      <c r="T53"/>
      <c r="U53"/>
      <c r="V53"/>
      <c r="W53"/>
      <c r="X53"/>
      <c r="Y53"/>
      <c r="Z53"/>
      <c r="AA53"/>
      <c r="AB53"/>
    </row>
    <row r="54" spans="1:28" ht="15" customHeight="1" thickBot="1" x14ac:dyDescent="0.3">
      <c r="A54" s="24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3"/>
      <c r="N54" s="31"/>
      <c r="O54"/>
      <c r="P54"/>
      <c r="Q54"/>
      <c r="R54"/>
      <c r="S54"/>
      <c r="T54"/>
      <c r="U54"/>
      <c r="V54"/>
      <c r="W54"/>
      <c r="X54"/>
      <c r="Y54"/>
      <c r="Z54"/>
      <c r="AA54"/>
      <c r="AB54"/>
    </row>
    <row r="55" spans="1:28" ht="15" customHeight="1" x14ac:dyDescent="0.25"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/>
      <c r="P55"/>
      <c r="Q55"/>
      <c r="R55"/>
      <c r="S55"/>
      <c r="T55"/>
      <c r="U55"/>
      <c r="V55"/>
      <c r="W55"/>
      <c r="X55"/>
      <c r="Y55"/>
      <c r="Z55"/>
      <c r="AA55"/>
      <c r="AB55"/>
    </row>
    <row r="56" spans="1:28" ht="15" customHeight="1" x14ac:dyDescent="0.25"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/>
      <c r="P56"/>
      <c r="Q56"/>
      <c r="R56"/>
      <c r="S56"/>
      <c r="T56"/>
      <c r="U56"/>
      <c r="V56"/>
      <c r="W56"/>
      <c r="X56"/>
      <c r="Y56"/>
      <c r="Z56"/>
      <c r="AA56"/>
      <c r="AB56"/>
    </row>
    <row r="57" spans="1:28" ht="15" customHeight="1" x14ac:dyDescent="0.25"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/>
      <c r="P57"/>
      <c r="Q57"/>
      <c r="R57"/>
      <c r="S57"/>
      <c r="T57"/>
      <c r="U57"/>
      <c r="V57"/>
      <c r="W57"/>
      <c r="X57"/>
      <c r="Y57"/>
      <c r="Z57"/>
      <c r="AA57"/>
      <c r="AB57"/>
    </row>
    <row r="58" spans="1:28" ht="15" customHeight="1" x14ac:dyDescent="0.25"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/>
      <c r="P58"/>
      <c r="Q58"/>
      <c r="R58"/>
      <c r="S58"/>
      <c r="T58"/>
      <c r="U58"/>
      <c r="V58"/>
      <c r="W58"/>
      <c r="X58"/>
      <c r="Y58"/>
      <c r="Z58"/>
      <c r="AA58"/>
      <c r="AB58"/>
    </row>
    <row r="59" spans="1:28" ht="15" customHeight="1" x14ac:dyDescent="0.25"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/>
      <c r="P59"/>
      <c r="Q59"/>
      <c r="R59"/>
      <c r="S59"/>
      <c r="T59"/>
      <c r="U59"/>
      <c r="V59"/>
      <c r="W59"/>
      <c r="X59"/>
      <c r="Y59"/>
      <c r="Z59"/>
      <c r="AA59"/>
      <c r="AB59"/>
    </row>
    <row r="60" spans="1:28" ht="15" customHeight="1" x14ac:dyDescent="0.25"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/>
      <c r="P60"/>
      <c r="Q60"/>
      <c r="R60"/>
      <c r="S60"/>
      <c r="T60"/>
      <c r="U60"/>
      <c r="V60"/>
      <c r="W60"/>
      <c r="X60"/>
      <c r="Y60"/>
      <c r="Z60"/>
      <c r="AA60"/>
      <c r="AB60"/>
    </row>
    <row r="61" spans="1:28" ht="15" customHeight="1" x14ac:dyDescent="0.25"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/>
      <c r="P61"/>
      <c r="Q61"/>
      <c r="R61"/>
      <c r="S61"/>
      <c r="T61"/>
      <c r="U61"/>
      <c r="V61"/>
      <c r="W61"/>
      <c r="X61"/>
      <c r="Y61"/>
      <c r="Z61"/>
      <c r="AA61"/>
      <c r="AB61"/>
    </row>
    <row r="62" spans="1:28" ht="15" customHeight="1" x14ac:dyDescent="0.25"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/>
      <c r="P62"/>
      <c r="Q62"/>
      <c r="R62"/>
      <c r="S62"/>
      <c r="T62"/>
      <c r="U62"/>
      <c r="V62"/>
      <c r="W62"/>
      <c r="X62"/>
      <c r="Y62"/>
      <c r="Z62"/>
      <c r="AA62"/>
      <c r="AB62"/>
    </row>
    <row r="63" spans="1:28" ht="15" customHeight="1" x14ac:dyDescent="0.25"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/>
      <c r="P63"/>
      <c r="Q63"/>
      <c r="R63"/>
      <c r="S63"/>
      <c r="T63"/>
      <c r="U63"/>
      <c r="V63"/>
      <c r="W63"/>
      <c r="X63"/>
      <c r="Y63"/>
      <c r="Z63"/>
      <c r="AA63"/>
      <c r="AB63"/>
    </row>
    <row r="64" spans="1:28" ht="15" customHeight="1" x14ac:dyDescent="0.25"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/>
      <c r="P64"/>
      <c r="Q64"/>
      <c r="R64"/>
      <c r="S64"/>
      <c r="T64"/>
      <c r="U64"/>
      <c r="V64"/>
      <c r="W64"/>
      <c r="X64"/>
      <c r="Y64"/>
      <c r="Z64"/>
      <c r="AA64"/>
      <c r="AB64"/>
    </row>
    <row r="65" spans="2:28" ht="15" customHeight="1" x14ac:dyDescent="0.25"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/>
      <c r="P65"/>
      <c r="Q65"/>
      <c r="R65"/>
      <c r="S65"/>
      <c r="T65"/>
      <c r="U65"/>
      <c r="V65"/>
      <c r="W65"/>
      <c r="X65"/>
      <c r="Y65"/>
      <c r="Z65"/>
      <c r="AA65"/>
      <c r="AB65"/>
    </row>
    <row r="66" spans="2:28" ht="15" customHeight="1" x14ac:dyDescent="0.25"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/>
      <c r="P66"/>
      <c r="Q66"/>
      <c r="R66"/>
      <c r="S66"/>
      <c r="T66"/>
      <c r="U66"/>
      <c r="V66"/>
      <c r="W66"/>
      <c r="X66"/>
      <c r="Y66"/>
      <c r="Z66"/>
      <c r="AA66"/>
      <c r="AB66"/>
    </row>
    <row r="67" spans="2:28" ht="15" customHeight="1" x14ac:dyDescent="0.25"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/>
      <c r="P67"/>
      <c r="Q67"/>
      <c r="R67"/>
      <c r="S67"/>
      <c r="T67"/>
      <c r="U67"/>
      <c r="V67"/>
      <c r="W67"/>
      <c r="X67"/>
      <c r="Y67"/>
      <c r="Z67"/>
      <c r="AA67"/>
      <c r="AB67"/>
    </row>
    <row r="68" spans="2:28" ht="15" customHeight="1" x14ac:dyDescent="0.25"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/>
      <c r="P68"/>
      <c r="Q68"/>
      <c r="R68"/>
      <c r="S68"/>
      <c r="T68"/>
      <c r="U68"/>
      <c r="V68"/>
      <c r="W68"/>
      <c r="X68"/>
      <c r="Y68"/>
      <c r="Z68"/>
      <c r="AA68"/>
      <c r="AB68"/>
    </row>
    <row r="69" spans="2:28" ht="15" customHeight="1" x14ac:dyDescent="0.25"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/>
      <c r="P69"/>
      <c r="Q69"/>
      <c r="R69"/>
      <c r="S69"/>
      <c r="T69"/>
      <c r="U69"/>
      <c r="V69"/>
      <c r="W69"/>
      <c r="X69"/>
      <c r="Y69"/>
      <c r="Z69"/>
      <c r="AA69"/>
      <c r="AB69"/>
    </row>
    <row r="70" spans="2:28" ht="15" customHeight="1" x14ac:dyDescent="0.25"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/>
      <c r="P70"/>
      <c r="Q70"/>
      <c r="R70"/>
      <c r="S70"/>
      <c r="T70"/>
      <c r="U70"/>
      <c r="V70"/>
      <c r="W70"/>
      <c r="X70"/>
      <c r="Y70"/>
      <c r="Z70"/>
      <c r="AA70"/>
      <c r="AB70"/>
    </row>
    <row r="71" spans="2:28" ht="15" customHeight="1" x14ac:dyDescent="0.25"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/>
      <c r="P71"/>
      <c r="Q71"/>
      <c r="R71"/>
      <c r="S71"/>
      <c r="T71"/>
      <c r="U71"/>
      <c r="V71"/>
      <c r="W71"/>
      <c r="X71"/>
      <c r="Y71"/>
      <c r="Z71"/>
      <c r="AA71"/>
      <c r="AB71"/>
    </row>
    <row r="72" spans="2:28" ht="15" customHeight="1" x14ac:dyDescent="0.25"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/>
      <c r="P72"/>
      <c r="Q72"/>
      <c r="R72"/>
      <c r="S72"/>
      <c r="T72"/>
      <c r="U72"/>
      <c r="V72"/>
      <c r="W72"/>
      <c r="X72"/>
      <c r="Y72"/>
      <c r="Z72"/>
      <c r="AA72"/>
      <c r="AB72"/>
    </row>
    <row r="73" spans="2:28" ht="15" customHeight="1" x14ac:dyDescent="0.25"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/>
      <c r="P73"/>
      <c r="Q73"/>
      <c r="R73"/>
      <c r="S73"/>
      <c r="T73"/>
      <c r="U73"/>
      <c r="V73"/>
      <c r="W73"/>
      <c r="X73"/>
      <c r="Y73"/>
      <c r="Z73"/>
      <c r="AA73"/>
      <c r="AB73"/>
    </row>
    <row r="74" spans="2:28" ht="15" customHeight="1" x14ac:dyDescent="0.25"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/>
      <c r="P74"/>
      <c r="Q74"/>
      <c r="R74"/>
      <c r="S74"/>
      <c r="T74"/>
      <c r="U74"/>
      <c r="V74"/>
      <c r="W74"/>
      <c r="X74"/>
      <c r="Y74"/>
      <c r="Z74"/>
      <c r="AA74"/>
      <c r="AB74"/>
    </row>
    <row r="75" spans="2:28" ht="15" customHeight="1" x14ac:dyDescent="0.25"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/>
      <c r="P75"/>
      <c r="Q75"/>
      <c r="R75"/>
      <c r="S75"/>
      <c r="T75"/>
      <c r="U75"/>
      <c r="V75"/>
      <c r="W75"/>
      <c r="X75"/>
      <c r="Y75"/>
      <c r="Z75"/>
      <c r="AA75"/>
      <c r="AB75"/>
    </row>
    <row r="76" spans="2:28" ht="15" customHeight="1" x14ac:dyDescent="0.25"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/>
      <c r="P76"/>
      <c r="Q76"/>
      <c r="R76"/>
      <c r="S76"/>
      <c r="T76"/>
      <c r="U76"/>
      <c r="V76"/>
      <c r="W76"/>
      <c r="X76"/>
      <c r="Y76"/>
      <c r="Z76"/>
      <c r="AA76"/>
      <c r="AB76"/>
    </row>
    <row r="77" spans="2:28" ht="15" customHeight="1" x14ac:dyDescent="0.25"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/>
      <c r="P77"/>
      <c r="Q77"/>
      <c r="R77"/>
      <c r="S77"/>
      <c r="T77"/>
      <c r="U77"/>
      <c r="V77"/>
      <c r="W77"/>
      <c r="X77"/>
      <c r="Y77"/>
      <c r="Z77"/>
      <c r="AA77"/>
      <c r="AB77"/>
    </row>
    <row r="78" spans="2:28" ht="15" customHeight="1" x14ac:dyDescent="0.25"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/>
      <c r="P78"/>
      <c r="Q78"/>
      <c r="R78"/>
      <c r="S78"/>
      <c r="T78"/>
      <c r="U78"/>
      <c r="V78"/>
      <c r="W78"/>
      <c r="X78"/>
      <c r="Y78"/>
      <c r="Z78"/>
      <c r="AA78"/>
      <c r="AB78"/>
    </row>
    <row r="79" spans="2:28" ht="15" customHeight="1" x14ac:dyDescent="0.25"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/>
      <c r="P79"/>
      <c r="Q79"/>
      <c r="R79"/>
      <c r="S79"/>
      <c r="T79"/>
      <c r="U79"/>
      <c r="V79"/>
      <c r="W79"/>
      <c r="X79"/>
      <c r="Y79"/>
      <c r="Z79"/>
      <c r="AA79"/>
      <c r="AB79"/>
    </row>
    <row r="80" spans="2:28" ht="15" customHeight="1" x14ac:dyDescent="0.25"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/>
      <c r="P80"/>
      <c r="Q80"/>
      <c r="R80"/>
      <c r="S80"/>
      <c r="T80"/>
      <c r="U80"/>
      <c r="V80"/>
      <c r="W80"/>
      <c r="X80"/>
      <c r="Y80"/>
      <c r="Z80"/>
      <c r="AA80"/>
      <c r="AB80"/>
    </row>
    <row r="81" spans="2:28" ht="15" customHeight="1" x14ac:dyDescent="0.25"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/>
      <c r="P81"/>
      <c r="Q81"/>
      <c r="R81"/>
      <c r="S81"/>
      <c r="T81"/>
      <c r="U81"/>
      <c r="V81"/>
      <c r="W81"/>
      <c r="X81"/>
      <c r="Y81"/>
      <c r="Z81"/>
      <c r="AA81"/>
      <c r="AB81"/>
    </row>
    <row r="82" spans="2:28" ht="15" customHeight="1" x14ac:dyDescent="0.25"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/>
      <c r="P82"/>
      <c r="Q82"/>
      <c r="R82"/>
      <c r="S82"/>
      <c r="T82"/>
      <c r="U82"/>
      <c r="V82"/>
      <c r="W82"/>
      <c r="X82"/>
      <c r="Y82"/>
      <c r="Z82"/>
      <c r="AA82"/>
      <c r="AB82"/>
    </row>
    <row r="83" spans="2:28" ht="15" customHeight="1" x14ac:dyDescent="0.25"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/>
      <c r="P83"/>
      <c r="Q83"/>
      <c r="R83"/>
      <c r="S83"/>
      <c r="T83"/>
      <c r="U83"/>
      <c r="V83"/>
      <c r="W83"/>
      <c r="X83"/>
      <c r="Y83"/>
      <c r="Z83"/>
      <c r="AA83"/>
      <c r="AB83"/>
    </row>
    <row r="84" spans="2:28" ht="15" customHeight="1" x14ac:dyDescent="0.25"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/>
      <c r="P84"/>
      <c r="Q84"/>
      <c r="R84"/>
      <c r="S84"/>
      <c r="T84"/>
      <c r="U84"/>
      <c r="V84"/>
      <c r="W84"/>
      <c r="X84"/>
      <c r="Y84"/>
      <c r="Z84"/>
      <c r="AA84"/>
      <c r="AB84"/>
    </row>
    <row r="85" spans="2:28" ht="15" customHeight="1" x14ac:dyDescent="0.25"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/>
      <c r="P85"/>
      <c r="Q85"/>
      <c r="R85"/>
      <c r="S85"/>
      <c r="T85"/>
      <c r="U85"/>
      <c r="V85"/>
      <c r="W85"/>
      <c r="X85"/>
      <c r="Y85"/>
      <c r="Z85"/>
      <c r="AA85"/>
      <c r="AB85"/>
    </row>
    <row r="86" spans="2:28" ht="15" customHeight="1" x14ac:dyDescent="0.25"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/>
      <c r="P86"/>
      <c r="Q86"/>
      <c r="R86"/>
      <c r="S86"/>
      <c r="T86"/>
      <c r="U86"/>
      <c r="V86"/>
      <c r="W86"/>
      <c r="X86"/>
      <c r="Y86"/>
      <c r="Z86"/>
      <c r="AA86"/>
      <c r="AB86"/>
    </row>
    <row r="87" spans="2:28" ht="15" customHeight="1" x14ac:dyDescent="0.25"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/>
      <c r="P87"/>
      <c r="Q87"/>
      <c r="R87"/>
      <c r="S87"/>
      <c r="T87"/>
      <c r="U87"/>
      <c r="V87"/>
      <c r="W87"/>
      <c r="X87"/>
      <c r="Y87"/>
      <c r="Z87"/>
      <c r="AA87"/>
      <c r="AB87"/>
    </row>
    <row r="88" spans="2:28" ht="15" customHeight="1" x14ac:dyDescent="0.25"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/>
      <c r="P88"/>
      <c r="Q88"/>
      <c r="R88"/>
      <c r="S88"/>
      <c r="T88"/>
      <c r="U88"/>
      <c r="V88"/>
      <c r="W88"/>
      <c r="X88"/>
      <c r="Y88"/>
      <c r="Z88"/>
      <c r="AA88"/>
      <c r="AB88"/>
    </row>
    <row r="89" spans="2:28" ht="15" customHeight="1" x14ac:dyDescent="0.25"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/>
      <c r="P89"/>
      <c r="Q89"/>
      <c r="R89"/>
      <c r="S89"/>
      <c r="T89"/>
      <c r="U89"/>
      <c r="V89"/>
      <c r="W89"/>
      <c r="X89"/>
      <c r="Y89"/>
      <c r="Z89"/>
      <c r="AA89"/>
      <c r="AB89"/>
    </row>
    <row r="90" spans="2:28" ht="15" customHeight="1" x14ac:dyDescent="0.25"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/>
      <c r="P90"/>
      <c r="Q90"/>
      <c r="R90"/>
      <c r="S90"/>
      <c r="T90"/>
      <c r="U90"/>
      <c r="V90"/>
      <c r="W90"/>
      <c r="X90"/>
      <c r="Y90"/>
      <c r="Z90"/>
      <c r="AA90"/>
      <c r="AB90"/>
    </row>
    <row r="91" spans="2:28" ht="15" customHeight="1" x14ac:dyDescent="0.25"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/>
      <c r="P91"/>
      <c r="Q91"/>
      <c r="R91"/>
      <c r="S91"/>
      <c r="T91"/>
      <c r="U91"/>
      <c r="V91"/>
      <c r="W91"/>
      <c r="X91"/>
      <c r="Y91"/>
      <c r="Z91"/>
      <c r="AA91"/>
      <c r="AB91"/>
    </row>
    <row r="92" spans="2:28" ht="15" customHeight="1" x14ac:dyDescent="0.25"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/>
      <c r="P92"/>
      <c r="Q92"/>
      <c r="R92"/>
      <c r="S92"/>
      <c r="T92"/>
      <c r="U92"/>
      <c r="V92"/>
      <c r="W92"/>
      <c r="X92"/>
      <c r="Y92"/>
      <c r="Z92"/>
      <c r="AA92"/>
      <c r="AB92"/>
    </row>
    <row r="93" spans="2:28" ht="15" customHeight="1" x14ac:dyDescent="0.25"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/>
      <c r="P93"/>
      <c r="Q93"/>
      <c r="R93"/>
      <c r="S93"/>
      <c r="T93"/>
      <c r="U93"/>
      <c r="V93"/>
      <c r="W93"/>
      <c r="X93"/>
      <c r="Y93"/>
      <c r="Z93"/>
      <c r="AA93"/>
      <c r="AB93"/>
    </row>
    <row r="94" spans="2:28" ht="15" customHeight="1" x14ac:dyDescent="0.25"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/>
      <c r="P94"/>
      <c r="Q94"/>
      <c r="R94"/>
      <c r="S94"/>
      <c r="T94"/>
      <c r="U94"/>
      <c r="V94"/>
      <c r="W94"/>
      <c r="X94"/>
      <c r="Y94"/>
      <c r="Z94"/>
      <c r="AA94"/>
      <c r="AB94"/>
    </row>
    <row r="95" spans="2:28" ht="15" customHeight="1" x14ac:dyDescent="0.25"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/>
      <c r="P95"/>
      <c r="Q95"/>
      <c r="R95"/>
      <c r="S95"/>
      <c r="T95"/>
      <c r="U95"/>
      <c r="V95"/>
      <c r="W95"/>
      <c r="X95"/>
      <c r="Y95"/>
      <c r="Z95"/>
      <c r="AA95"/>
      <c r="AB95"/>
    </row>
    <row r="96" spans="2:28" ht="15" customHeight="1" x14ac:dyDescent="0.25"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/>
      <c r="P96"/>
      <c r="Q96"/>
      <c r="R96"/>
      <c r="S96"/>
      <c r="T96"/>
      <c r="U96"/>
      <c r="V96"/>
      <c r="W96"/>
      <c r="X96"/>
      <c r="Y96"/>
      <c r="Z96"/>
      <c r="AA96"/>
      <c r="AB96"/>
    </row>
    <row r="97" spans="2:28" ht="15" customHeight="1" x14ac:dyDescent="0.25"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/>
      <c r="P97"/>
      <c r="Q97"/>
      <c r="R97"/>
      <c r="S97"/>
      <c r="T97"/>
      <c r="U97"/>
      <c r="V97"/>
      <c r="W97"/>
      <c r="X97"/>
      <c r="Y97"/>
      <c r="Z97"/>
      <c r="AA97"/>
      <c r="AB97"/>
    </row>
    <row r="98" spans="2:28" ht="15" customHeight="1" x14ac:dyDescent="0.25"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/>
      <c r="P98"/>
      <c r="Q98"/>
      <c r="R98"/>
      <c r="S98"/>
      <c r="T98"/>
      <c r="U98"/>
      <c r="V98"/>
      <c r="W98"/>
      <c r="X98"/>
      <c r="Y98"/>
      <c r="Z98"/>
      <c r="AA98"/>
      <c r="AB98"/>
    </row>
    <row r="99" spans="2:28" ht="15" customHeight="1" x14ac:dyDescent="0.25"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/>
      <c r="P99"/>
      <c r="Q99"/>
      <c r="R99"/>
      <c r="S99"/>
      <c r="T99"/>
      <c r="U99"/>
      <c r="V99"/>
      <c r="W99"/>
      <c r="X99"/>
      <c r="Y99"/>
      <c r="Z99"/>
      <c r="AA99"/>
      <c r="AB99"/>
    </row>
    <row r="100" spans="2:28" ht="15" customHeight="1" x14ac:dyDescent="0.25"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</row>
    <row r="101" spans="2:28" ht="15" customHeight="1" x14ac:dyDescent="0.25"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</row>
  </sheetData>
  <mergeCells count="1">
    <mergeCell ref="L1:M1"/>
  </mergeCells>
  <conditionalFormatting sqref="B1">
    <cfRule type="cellIs" dxfId="14" priority="1" operator="equal">
      <formula>"Incomplete"</formula>
    </cfRule>
    <cfRule type="cellIs" dxfId="13" priority="2" operator="equal">
      <formula>"Flag for Review"</formula>
    </cfRule>
    <cfRule type="cellIs" dxfId="12" priority="3" operator="equal">
      <formula>"Finished"</formula>
    </cfRule>
  </conditionalFormatting>
  <dataValidations count="1">
    <dataValidation type="list" allowBlank="1" showInputMessage="1" showErrorMessage="1" sqref="B1">
      <formula1>"Finished, Flag for Review, Incomplete"</formula1>
    </dataValidation>
  </dataValidations>
  <hyperlinks>
    <hyperlink ref="L1" location="'Point Grid'!A8" display="Return to Point Grid"/>
    <hyperlink ref="L1:M1" location="'Point Grid'!A1" display="Return to Point Grid"/>
  </hyperlinks>
  <pageMargins left="0.7" right="0.7" top="0.75" bottom="0.75" header="0.3" footer="0.3"/>
  <pageSetup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U101"/>
  <sheetViews>
    <sheetView workbookViewId="0"/>
  </sheetViews>
  <sheetFormatPr defaultColWidth="9.140625" defaultRowHeight="15" x14ac:dyDescent="0.25"/>
  <cols>
    <col min="1" max="1" width="9.140625" style="21"/>
    <col min="2" max="2" width="16" style="21" bestFit="1" customWidth="1"/>
    <col min="3" max="9" width="11.140625" style="21" customWidth="1"/>
    <col min="10" max="16384" width="9.140625" style="21"/>
  </cols>
  <sheetData>
    <row r="1" spans="1:21" x14ac:dyDescent="0.25">
      <c r="A1" s="7">
        <v>27</v>
      </c>
      <c r="B1" s="27" t="s">
        <v>12</v>
      </c>
      <c r="C1" s="20"/>
      <c r="D1" s="20"/>
      <c r="E1" s="20"/>
      <c r="F1" s="20"/>
      <c r="G1" s="20"/>
      <c r="H1" s="384" t="s">
        <v>24</v>
      </c>
      <c r="I1" s="385"/>
      <c r="K1"/>
      <c r="L1"/>
      <c r="M1"/>
      <c r="N1"/>
      <c r="O1"/>
      <c r="P1"/>
      <c r="Q1"/>
      <c r="R1"/>
      <c r="S1"/>
      <c r="T1"/>
      <c r="U1"/>
    </row>
    <row r="2" spans="1:21" x14ac:dyDescent="0.25">
      <c r="A2" s="22"/>
      <c r="B2" s="19"/>
      <c r="C2" s="19"/>
      <c r="D2" s="19"/>
      <c r="E2" s="19"/>
      <c r="F2" s="19"/>
      <c r="G2" s="19"/>
      <c r="H2" s="19"/>
      <c r="I2" s="23"/>
      <c r="K2"/>
      <c r="L2"/>
      <c r="M2"/>
      <c r="N2"/>
      <c r="O2"/>
      <c r="P2"/>
      <c r="Q2"/>
      <c r="R2"/>
      <c r="S2"/>
      <c r="T2"/>
      <c r="U2"/>
    </row>
    <row r="3" spans="1:21" x14ac:dyDescent="0.25">
      <c r="A3" s="8" t="s">
        <v>13</v>
      </c>
      <c r="B3" s="17"/>
      <c r="C3" s="17"/>
      <c r="D3" s="17"/>
      <c r="E3" s="17"/>
      <c r="F3" s="17"/>
      <c r="G3" s="17"/>
      <c r="H3" s="17"/>
      <c r="I3" s="18"/>
      <c r="J3" s="31"/>
      <c r="K3"/>
      <c r="L3"/>
      <c r="M3"/>
      <c r="N3"/>
      <c r="O3"/>
      <c r="P3"/>
      <c r="Q3"/>
      <c r="R3"/>
      <c r="S3"/>
      <c r="T3"/>
      <c r="U3"/>
    </row>
    <row r="4" spans="1:21" x14ac:dyDescent="0.25">
      <c r="A4" s="9">
        <f>INDEX('Point Grid'!B:B,MATCH(A1,'Point Grid'!A:A,0))</f>
        <v>1.5</v>
      </c>
      <c r="B4" s="17"/>
      <c r="C4" s="17"/>
      <c r="D4" s="17"/>
      <c r="E4" s="17"/>
      <c r="F4" s="17"/>
      <c r="G4" s="17"/>
      <c r="H4" s="17"/>
      <c r="I4" s="18"/>
      <c r="J4" s="31"/>
      <c r="K4"/>
      <c r="L4"/>
      <c r="M4"/>
      <c r="N4"/>
      <c r="O4"/>
      <c r="P4"/>
      <c r="Q4"/>
      <c r="R4"/>
      <c r="S4"/>
      <c r="T4"/>
      <c r="U4"/>
    </row>
    <row r="5" spans="1:21" x14ac:dyDescent="0.25">
      <c r="A5" s="16"/>
      <c r="B5" s="17"/>
      <c r="C5" s="17"/>
      <c r="D5" s="17"/>
      <c r="E5" s="17"/>
      <c r="F5" s="17"/>
      <c r="G5" s="17"/>
      <c r="H5" s="17"/>
      <c r="I5" s="18"/>
      <c r="J5" s="31"/>
      <c r="K5"/>
      <c r="L5"/>
      <c r="M5"/>
      <c r="N5"/>
      <c r="O5"/>
      <c r="P5"/>
      <c r="Q5"/>
      <c r="R5"/>
      <c r="S5"/>
      <c r="T5"/>
      <c r="U5"/>
    </row>
    <row r="6" spans="1:21" x14ac:dyDescent="0.25">
      <c r="A6" s="25" t="s">
        <v>2</v>
      </c>
      <c r="B6" s="17" t="s">
        <v>362</v>
      </c>
      <c r="C6" s="17"/>
      <c r="D6" s="17"/>
      <c r="E6" s="17"/>
      <c r="F6" s="17"/>
      <c r="G6" s="17"/>
      <c r="H6" s="17"/>
      <c r="I6" s="18"/>
      <c r="J6" s="31"/>
      <c r="K6"/>
      <c r="L6"/>
      <c r="M6"/>
      <c r="N6"/>
      <c r="O6"/>
      <c r="P6"/>
      <c r="Q6"/>
      <c r="R6"/>
      <c r="S6"/>
      <c r="T6"/>
      <c r="U6"/>
    </row>
    <row r="7" spans="1:21" ht="15.75" thickBot="1" x14ac:dyDescent="0.3">
      <c r="A7" s="9">
        <f>INDEX('Point Grid'!$C$8:$I$54,MATCH($A$1,'Point Grid'!$A$8:$A$54,0),MATCH(A6,'Point Grid'!$C$7:$I$7,0))</f>
        <v>0.25</v>
      </c>
      <c r="B7" s="17" t="s">
        <v>363</v>
      </c>
      <c r="C7" s="17"/>
      <c r="D7" s="17"/>
      <c r="E7" s="17"/>
      <c r="F7" s="17"/>
      <c r="G7" s="17"/>
      <c r="H7" s="17"/>
      <c r="I7" s="18"/>
      <c r="J7" s="31"/>
      <c r="K7"/>
      <c r="L7"/>
      <c r="M7"/>
      <c r="N7"/>
      <c r="O7"/>
      <c r="P7"/>
      <c r="Q7"/>
      <c r="R7"/>
      <c r="S7"/>
      <c r="T7"/>
      <c r="U7"/>
    </row>
    <row r="8" spans="1:21" ht="15.75" thickBot="1" x14ac:dyDescent="0.3">
      <c r="A8" s="5"/>
      <c r="B8" s="17" t="s">
        <v>365</v>
      </c>
      <c r="C8" s="28"/>
      <c r="D8" s="28"/>
      <c r="E8" s="28"/>
      <c r="F8" s="28"/>
      <c r="G8" s="28"/>
      <c r="H8" s="28"/>
      <c r="I8" s="18"/>
      <c r="J8" s="31"/>
      <c r="K8"/>
      <c r="L8"/>
      <c r="M8"/>
      <c r="N8"/>
      <c r="O8"/>
      <c r="P8"/>
      <c r="Q8"/>
      <c r="R8"/>
      <c r="S8"/>
      <c r="T8"/>
      <c r="U8"/>
    </row>
    <row r="9" spans="1:21" x14ac:dyDescent="0.25">
      <c r="A9" s="25"/>
      <c r="B9" s="17"/>
      <c r="C9" s="17"/>
      <c r="D9" s="17"/>
      <c r="E9" s="17"/>
      <c r="F9" s="17"/>
      <c r="G9" s="17"/>
      <c r="H9" s="17"/>
      <c r="I9" s="18"/>
      <c r="J9" s="31"/>
      <c r="K9"/>
      <c r="L9"/>
      <c r="M9"/>
      <c r="N9"/>
      <c r="O9"/>
      <c r="P9"/>
      <c r="Q9"/>
      <c r="R9"/>
      <c r="S9"/>
      <c r="T9"/>
      <c r="U9"/>
    </row>
    <row r="10" spans="1:21" x14ac:dyDescent="0.25">
      <c r="A10" s="25" t="s">
        <v>3</v>
      </c>
      <c r="B10" s="17" t="s">
        <v>364</v>
      </c>
      <c r="C10" s="17"/>
      <c r="D10" s="17"/>
      <c r="E10" s="17"/>
      <c r="F10" s="17"/>
      <c r="G10" s="17"/>
      <c r="H10" s="17"/>
      <c r="I10" s="18"/>
      <c r="J10" s="31"/>
      <c r="K10"/>
      <c r="L10"/>
      <c r="M10"/>
      <c r="N10"/>
      <c r="O10"/>
      <c r="P10"/>
      <c r="Q10"/>
      <c r="R10"/>
      <c r="S10"/>
      <c r="T10"/>
      <c r="U10"/>
    </row>
    <row r="11" spans="1:21" ht="15.75" thickBot="1" x14ac:dyDescent="0.3">
      <c r="A11" s="9">
        <f>INDEX('Point Grid'!$C$8:$I$54,MATCH($A$1,'Point Grid'!$A$8:$A$54,0),MATCH(A10,'Point Grid'!$C$7:$I$7,0))</f>
        <v>0.25</v>
      </c>
      <c r="B11" s="17" t="s">
        <v>366</v>
      </c>
      <c r="C11" s="17"/>
      <c r="D11" s="17"/>
      <c r="E11" s="17"/>
      <c r="F11" s="17"/>
      <c r="G11" s="17"/>
      <c r="H11" s="17"/>
      <c r="I11" s="18"/>
      <c r="J11" s="31"/>
      <c r="K11"/>
      <c r="L11"/>
      <c r="M11"/>
      <c r="N11"/>
      <c r="O11"/>
      <c r="P11"/>
      <c r="Q11"/>
      <c r="R11"/>
      <c r="S11"/>
      <c r="T11"/>
      <c r="U11"/>
    </row>
    <row r="12" spans="1:21" ht="15.75" thickBot="1" x14ac:dyDescent="0.3">
      <c r="A12" s="5"/>
      <c r="B12" s="17"/>
      <c r="C12" s="28"/>
      <c r="D12" s="28"/>
      <c r="E12" s="28"/>
      <c r="F12" s="28"/>
      <c r="G12" s="28"/>
      <c r="H12" s="28"/>
      <c r="I12" s="18"/>
      <c r="J12" s="31"/>
      <c r="K12"/>
      <c r="L12"/>
      <c r="M12"/>
      <c r="N12"/>
      <c r="O12"/>
      <c r="P12"/>
      <c r="Q12"/>
      <c r="R12"/>
      <c r="S12"/>
      <c r="T12"/>
      <c r="U12"/>
    </row>
    <row r="13" spans="1:21" x14ac:dyDescent="0.25">
      <c r="A13" s="25"/>
      <c r="B13" s="17"/>
      <c r="C13" s="28"/>
      <c r="D13" s="28"/>
      <c r="E13" s="28"/>
      <c r="F13" s="28"/>
      <c r="G13" s="28"/>
      <c r="H13" s="28"/>
      <c r="I13" s="18"/>
      <c r="J13" s="31"/>
      <c r="K13"/>
      <c r="L13"/>
      <c r="M13"/>
      <c r="N13"/>
      <c r="O13"/>
      <c r="P13"/>
      <c r="Q13"/>
      <c r="R13"/>
      <c r="S13"/>
      <c r="T13"/>
      <c r="U13"/>
    </row>
    <row r="14" spans="1:21" x14ac:dyDescent="0.25">
      <c r="A14" s="25" t="s">
        <v>4</v>
      </c>
      <c r="B14" s="17" t="s">
        <v>367</v>
      </c>
      <c r="C14" s="17"/>
      <c r="D14" s="17"/>
      <c r="E14" s="17"/>
      <c r="F14" s="17"/>
      <c r="G14" s="17"/>
      <c r="H14" s="17"/>
      <c r="I14" s="18"/>
      <c r="J14" s="31"/>
      <c r="K14"/>
      <c r="L14"/>
      <c r="M14"/>
      <c r="N14"/>
      <c r="O14"/>
      <c r="P14"/>
      <c r="Q14"/>
      <c r="R14"/>
      <c r="S14"/>
      <c r="T14"/>
      <c r="U14"/>
    </row>
    <row r="15" spans="1:21" ht="15.75" thickBot="1" x14ac:dyDescent="0.3">
      <c r="A15" s="9">
        <f>INDEX('Point Grid'!$C$8:$I$54,MATCH($A$1,'Point Grid'!$A$8:$A$54,0),MATCH(A14,'Point Grid'!$C$7:$I$7,0))</f>
        <v>0.5</v>
      </c>
      <c r="B15" s="17"/>
      <c r="C15" s="17"/>
      <c r="D15" s="17"/>
      <c r="E15" s="17"/>
      <c r="F15" s="17"/>
      <c r="G15" s="17"/>
      <c r="H15" s="17"/>
      <c r="I15" s="18"/>
      <c r="J15" s="31"/>
      <c r="K15"/>
      <c r="L15"/>
      <c r="M15"/>
      <c r="N15"/>
      <c r="O15"/>
      <c r="P15"/>
      <c r="Q15"/>
      <c r="R15"/>
      <c r="S15"/>
      <c r="T15"/>
      <c r="U15"/>
    </row>
    <row r="16" spans="1:21" ht="15.75" thickBot="1" x14ac:dyDescent="0.3">
      <c r="A16" s="5"/>
      <c r="B16" s="17"/>
      <c r="C16" s="346" t="s">
        <v>368</v>
      </c>
      <c r="D16" s="345">
        <v>450</v>
      </c>
      <c r="E16" s="17"/>
      <c r="F16" s="17"/>
      <c r="G16" s="17"/>
      <c r="H16" s="17"/>
      <c r="I16" s="18"/>
      <c r="J16" s="31"/>
      <c r="K16"/>
      <c r="L16"/>
      <c r="M16"/>
      <c r="N16"/>
      <c r="O16"/>
      <c r="P16"/>
      <c r="Q16"/>
      <c r="R16"/>
      <c r="S16"/>
      <c r="T16"/>
      <c r="U16"/>
    </row>
    <row r="17" spans="1:21" x14ac:dyDescent="0.25">
      <c r="A17" s="22"/>
      <c r="B17" s="17"/>
      <c r="C17" s="347" t="s">
        <v>369</v>
      </c>
      <c r="D17" s="344">
        <v>600</v>
      </c>
      <c r="E17" s="17"/>
      <c r="F17" s="17"/>
      <c r="G17" s="17"/>
      <c r="H17" s="17"/>
      <c r="I17" s="18"/>
      <c r="J17" s="31"/>
      <c r="K17"/>
      <c r="L17"/>
      <c r="M17"/>
      <c r="N17"/>
      <c r="O17"/>
      <c r="P17"/>
      <c r="Q17"/>
      <c r="R17"/>
      <c r="S17"/>
      <c r="T17"/>
      <c r="U17"/>
    </row>
    <row r="18" spans="1:21" ht="15" customHeight="1" x14ac:dyDescent="0.25">
      <c r="A18" s="22"/>
      <c r="B18" s="17"/>
      <c r="C18" s="17"/>
      <c r="D18" s="17"/>
      <c r="E18" s="17"/>
      <c r="F18" s="17"/>
      <c r="G18" s="17"/>
      <c r="H18" s="17"/>
      <c r="I18" s="18"/>
      <c r="J18" s="31"/>
      <c r="K18"/>
      <c r="L18"/>
      <c r="M18"/>
      <c r="N18"/>
      <c r="O18"/>
      <c r="P18"/>
      <c r="Q18"/>
      <c r="R18"/>
      <c r="S18"/>
      <c r="T18"/>
      <c r="U18"/>
    </row>
    <row r="19" spans="1:21" ht="15" customHeight="1" x14ac:dyDescent="0.25">
      <c r="A19" s="22"/>
      <c r="B19" s="17" t="s">
        <v>371</v>
      </c>
      <c r="C19" s="17"/>
      <c r="D19" s="17"/>
      <c r="E19" s="17"/>
      <c r="F19" s="17"/>
      <c r="G19" s="17"/>
      <c r="H19" s="17"/>
      <c r="I19" s="18"/>
      <c r="J19" s="31"/>
      <c r="K19"/>
      <c r="L19"/>
      <c r="M19"/>
      <c r="N19"/>
      <c r="O19"/>
      <c r="P19"/>
      <c r="Q19"/>
      <c r="R19"/>
      <c r="S19"/>
      <c r="T19"/>
      <c r="U19"/>
    </row>
    <row r="20" spans="1:21" ht="15" customHeight="1" x14ac:dyDescent="0.25">
      <c r="A20" s="22"/>
      <c r="B20" s="17" t="s">
        <v>370</v>
      </c>
      <c r="C20" s="17"/>
      <c r="D20" s="17"/>
      <c r="E20" s="17"/>
      <c r="F20" s="17"/>
      <c r="G20" s="17"/>
      <c r="H20" s="17"/>
      <c r="I20" s="18"/>
      <c r="J20" s="31"/>
      <c r="K20"/>
      <c r="L20"/>
      <c r="M20"/>
      <c r="N20"/>
      <c r="O20"/>
      <c r="P20"/>
      <c r="Q20"/>
      <c r="R20"/>
      <c r="S20"/>
      <c r="T20"/>
      <c r="U20"/>
    </row>
    <row r="21" spans="1:21" ht="15" customHeight="1" x14ac:dyDescent="0.25">
      <c r="A21" s="22"/>
      <c r="B21" s="17"/>
      <c r="C21" s="17"/>
      <c r="D21" s="17"/>
      <c r="E21" s="17"/>
      <c r="F21" s="17"/>
      <c r="G21" s="17"/>
      <c r="H21" s="17"/>
      <c r="I21" s="18"/>
      <c r="J21" s="31"/>
      <c r="K21"/>
      <c r="L21"/>
      <c r="M21"/>
      <c r="N21"/>
      <c r="O21"/>
      <c r="P21"/>
      <c r="Q21"/>
      <c r="R21"/>
      <c r="S21"/>
      <c r="T21"/>
      <c r="U21"/>
    </row>
    <row r="22" spans="1:21" ht="15" customHeight="1" x14ac:dyDescent="0.25">
      <c r="A22" s="25" t="s">
        <v>5</v>
      </c>
      <c r="B22" s="17" t="s">
        <v>373</v>
      </c>
      <c r="C22" s="17"/>
      <c r="D22" s="17"/>
      <c r="E22" s="17"/>
      <c r="F22" s="17"/>
      <c r="G22" s="17"/>
      <c r="H22" s="17"/>
      <c r="I22" s="18"/>
      <c r="J22" s="31"/>
      <c r="K22"/>
      <c r="L22"/>
      <c r="M22"/>
      <c r="N22"/>
      <c r="O22"/>
      <c r="P22"/>
      <c r="Q22"/>
      <c r="R22"/>
      <c r="S22"/>
      <c r="T22"/>
      <c r="U22"/>
    </row>
    <row r="23" spans="1:21" ht="15" customHeight="1" thickBot="1" x14ac:dyDescent="0.3">
      <c r="A23" s="9">
        <f>INDEX('Point Grid'!$C$8:$I$54,MATCH($A$1,'Point Grid'!$A$8:$A$54,0),MATCH(A22,'Point Grid'!$C$7:$I$7,0))</f>
        <v>0.5</v>
      </c>
      <c r="B23" s="17" t="s">
        <v>372</v>
      </c>
      <c r="C23" s="17"/>
      <c r="D23" s="17"/>
      <c r="E23" s="17"/>
      <c r="F23" s="17"/>
      <c r="G23" s="17"/>
      <c r="H23" s="17"/>
      <c r="I23" s="18"/>
      <c r="J23" s="31"/>
      <c r="K23"/>
      <c r="L23"/>
      <c r="M23"/>
      <c r="N23"/>
      <c r="O23"/>
      <c r="P23"/>
      <c r="Q23"/>
      <c r="R23"/>
      <c r="S23"/>
      <c r="T23"/>
      <c r="U23"/>
    </row>
    <row r="24" spans="1:21" ht="15" customHeight="1" thickBot="1" x14ac:dyDescent="0.3">
      <c r="A24" s="5"/>
      <c r="B24" s="17"/>
      <c r="C24" s="17"/>
      <c r="D24" s="17"/>
      <c r="E24" s="17"/>
      <c r="F24" s="17"/>
      <c r="G24" s="17"/>
      <c r="H24" s="17"/>
      <c r="I24" s="18"/>
      <c r="J24" s="31"/>
      <c r="K24"/>
      <c r="L24"/>
      <c r="M24"/>
      <c r="N24"/>
      <c r="O24"/>
      <c r="P24"/>
      <c r="Q24"/>
      <c r="R24"/>
      <c r="S24"/>
      <c r="T24"/>
      <c r="U24"/>
    </row>
    <row r="25" spans="1:21" ht="15" customHeight="1" x14ac:dyDescent="0.25">
      <c r="A25" s="22"/>
      <c r="B25" s="17"/>
      <c r="C25" s="17"/>
      <c r="D25" s="17"/>
      <c r="E25" s="17"/>
      <c r="F25" s="17"/>
      <c r="G25" s="17"/>
      <c r="H25" s="17"/>
      <c r="I25" s="18"/>
      <c r="J25" s="31"/>
      <c r="K25"/>
      <c r="L25"/>
      <c r="M25"/>
      <c r="N25"/>
      <c r="O25"/>
      <c r="P25"/>
      <c r="Q25"/>
      <c r="R25"/>
      <c r="S25"/>
      <c r="T25"/>
      <c r="U25"/>
    </row>
    <row r="26" spans="1:21" ht="15" customHeight="1" thickBot="1" x14ac:dyDescent="0.3">
      <c r="A26" s="24"/>
      <c r="B26" s="32"/>
      <c r="C26" s="32"/>
      <c r="D26" s="32"/>
      <c r="E26" s="32"/>
      <c r="F26" s="32"/>
      <c r="G26" s="32"/>
      <c r="H26" s="32"/>
      <c r="I26" s="33"/>
      <c r="J26" s="31"/>
      <c r="K26"/>
      <c r="L26"/>
      <c r="M26"/>
      <c r="N26"/>
      <c r="O26"/>
      <c r="P26"/>
      <c r="Q26"/>
      <c r="R26"/>
      <c r="S26"/>
      <c r="T26"/>
      <c r="U26"/>
    </row>
    <row r="27" spans="1:21" ht="15" customHeight="1" x14ac:dyDescent="0.25">
      <c r="J27" s="31"/>
      <c r="K27"/>
      <c r="L27"/>
      <c r="M27"/>
      <c r="N27"/>
      <c r="O27"/>
      <c r="P27"/>
      <c r="Q27"/>
      <c r="R27"/>
      <c r="S27"/>
      <c r="T27"/>
      <c r="U27"/>
    </row>
    <row r="28" spans="1:21" ht="15" customHeight="1" x14ac:dyDescent="0.25">
      <c r="J28" s="31"/>
      <c r="K28"/>
      <c r="L28"/>
      <c r="M28"/>
      <c r="N28"/>
      <c r="O28"/>
      <c r="P28"/>
      <c r="Q28"/>
      <c r="R28"/>
      <c r="S28"/>
      <c r="T28"/>
      <c r="U28"/>
    </row>
    <row r="29" spans="1:21" ht="15" customHeight="1" x14ac:dyDescent="0.25">
      <c r="J29" s="31"/>
      <c r="K29"/>
      <c r="L29"/>
      <c r="M29"/>
      <c r="N29"/>
      <c r="O29"/>
      <c r="P29"/>
      <c r="Q29"/>
      <c r="R29"/>
      <c r="S29"/>
      <c r="T29"/>
      <c r="U29"/>
    </row>
    <row r="30" spans="1:21" ht="15" customHeight="1" x14ac:dyDescent="0.25">
      <c r="J30" s="31"/>
      <c r="K30"/>
      <c r="L30"/>
      <c r="M30"/>
      <c r="N30"/>
      <c r="O30"/>
      <c r="P30"/>
      <c r="Q30"/>
      <c r="R30"/>
      <c r="S30"/>
      <c r="T30"/>
      <c r="U30"/>
    </row>
    <row r="31" spans="1:21" ht="15" customHeight="1" x14ac:dyDescent="0.25">
      <c r="J31" s="31"/>
      <c r="K31"/>
      <c r="L31"/>
      <c r="M31"/>
      <c r="N31"/>
      <c r="O31"/>
      <c r="P31"/>
      <c r="Q31"/>
      <c r="R31"/>
      <c r="S31"/>
      <c r="T31"/>
      <c r="U31"/>
    </row>
    <row r="32" spans="1:21" ht="15" customHeight="1" x14ac:dyDescent="0.25">
      <c r="J32" s="31"/>
      <c r="K32"/>
      <c r="L32"/>
      <c r="M32"/>
      <c r="N32"/>
      <c r="O32"/>
      <c r="P32"/>
      <c r="Q32"/>
      <c r="R32"/>
      <c r="S32"/>
      <c r="T32"/>
      <c r="U32"/>
    </row>
    <row r="33" spans="2:21" ht="15" customHeight="1" x14ac:dyDescent="0.25">
      <c r="J33" s="31"/>
      <c r="K33"/>
      <c r="L33"/>
      <c r="M33"/>
      <c r="N33"/>
      <c r="O33"/>
      <c r="P33"/>
      <c r="Q33"/>
      <c r="R33"/>
      <c r="S33"/>
      <c r="T33"/>
      <c r="U33"/>
    </row>
    <row r="34" spans="2:21" ht="15" customHeight="1" x14ac:dyDescent="0.25">
      <c r="J34" s="31"/>
      <c r="K34"/>
      <c r="L34"/>
      <c r="M34"/>
      <c r="N34"/>
      <c r="O34"/>
      <c r="P34"/>
      <c r="Q34"/>
      <c r="R34"/>
      <c r="S34"/>
      <c r="T34"/>
      <c r="U34"/>
    </row>
    <row r="35" spans="2:21" ht="15" customHeight="1" x14ac:dyDescent="0.25">
      <c r="J35" s="31"/>
      <c r="K35"/>
      <c r="L35"/>
      <c r="M35"/>
      <c r="N35"/>
      <c r="O35"/>
      <c r="P35"/>
      <c r="Q35"/>
      <c r="R35"/>
      <c r="S35"/>
      <c r="T35"/>
      <c r="U35"/>
    </row>
    <row r="36" spans="2:21" ht="15" customHeight="1" x14ac:dyDescent="0.25">
      <c r="J36" s="31"/>
      <c r="K36"/>
      <c r="L36"/>
      <c r="M36"/>
      <c r="N36"/>
      <c r="O36"/>
      <c r="P36"/>
      <c r="Q36"/>
      <c r="R36"/>
      <c r="S36"/>
      <c r="T36"/>
      <c r="U36"/>
    </row>
    <row r="37" spans="2:21" ht="15" customHeight="1" x14ac:dyDescent="0.25">
      <c r="J37" s="31"/>
      <c r="K37"/>
      <c r="L37"/>
      <c r="M37"/>
      <c r="N37"/>
      <c r="O37"/>
      <c r="P37"/>
      <c r="Q37"/>
      <c r="R37"/>
      <c r="S37"/>
      <c r="T37"/>
      <c r="U37"/>
    </row>
    <row r="38" spans="2:21" ht="15" customHeight="1" x14ac:dyDescent="0.25">
      <c r="J38" s="31"/>
      <c r="K38"/>
      <c r="L38"/>
      <c r="M38"/>
      <c r="N38"/>
      <c r="O38"/>
      <c r="P38"/>
      <c r="Q38"/>
      <c r="R38"/>
      <c r="S38"/>
      <c r="T38"/>
      <c r="U38"/>
    </row>
    <row r="39" spans="2:21" ht="15" customHeight="1" x14ac:dyDescent="0.25">
      <c r="J39" s="31"/>
      <c r="K39"/>
      <c r="L39"/>
      <c r="M39"/>
      <c r="N39"/>
      <c r="O39"/>
      <c r="P39"/>
      <c r="Q39"/>
      <c r="R39"/>
      <c r="S39"/>
      <c r="T39"/>
      <c r="U39"/>
    </row>
    <row r="40" spans="2:21" ht="15" customHeight="1" x14ac:dyDescent="0.25">
      <c r="J40" s="31"/>
      <c r="K40"/>
      <c r="L40"/>
      <c r="M40"/>
      <c r="N40"/>
      <c r="O40"/>
      <c r="P40"/>
      <c r="Q40"/>
      <c r="R40"/>
      <c r="S40"/>
      <c r="T40"/>
      <c r="U40"/>
    </row>
    <row r="41" spans="2:21" ht="15" customHeight="1" x14ac:dyDescent="0.25">
      <c r="J41" s="31"/>
      <c r="K41"/>
      <c r="L41"/>
      <c r="M41"/>
      <c r="N41"/>
      <c r="O41"/>
      <c r="P41"/>
      <c r="Q41"/>
      <c r="R41"/>
      <c r="S41"/>
      <c r="T41"/>
      <c r="U41"/>
    </row>
    <row r="42" spans="2:21" ht="15" customHeight="1" x14ac:dyDescent="0.25">
      <c r="J42" s="31"/>
      <c r="K42"/>
      <c r="L42"/>
      <c r="M42"/>
      <c r="N42"/>
      <c r="O42"/>
      <c r="P42"/>
      <c r="Q42"/>
      <c r="R42"/>
      <c r="S42"/>
      <c r="T42"/>
      <c r="U42"/>
    </row>
    <row r="43" spans="2:21" ht="15" customHeight="1" x14ac:dyDescent="0.25">
      <c r="J43" s="31"/>
      <c r="K43"/>
      <c r="L43"/>
      <c r="M43"/>
      <c r="N43"/>
      <c r="O43"/>
      <c r="P43"/>
      <c r="Q43"/>
      <c r="R43"/>
      <c r="S43"/>
      <c r="T43"/>
      <c r="U43"/>
    </row>
    <row r="44" spans="2:21" ht="15" customHeight="1" x14ac:dyDescent="0.25">
      <c r="J44" s="31"/>
      <c r="K44"/>
      <c r="L44"/>
      <c r="M44"/>
      <c r="N44"/>
      <c r="O44"/>
      <c r="P44"/>
      <c r="Q44"/>
      <c r="R44"/>
      <c r="S44"/>
      <c r="T44"/>
      <c r="U44"/>
    </row>
    <row r="45" spans="2:21" ht="15" customHeight="1" x14ac:dyDescent="0.25">
      <c r="J45" s="31"/>
      <c r="K45"/>
      <c r="L45"/>
      <c r="M45"/>
      <c r="N45"/>
      <c r="O45"/>
      <c r="P45"/>
      <c r="Q45"/>
      <c r="R45"/>
      <c r="S45"/>
      <c r="T45"/>
      <c r="U45"/>
    </row>
    <row r="46" spans="2:21" ht="15" customHeight="1" x14ac:dyDescent="0.25">
      <c r="B46" s="31"/>
      <c r="C46" s="31"/>
      <c r="D46" s="31"/>
      <c r="E46" s="31"/>
      <c r="F46" s="31"/>
      <c r="G46" s="31"/>
      <c r="H46" s="31"/>
      <c r="I46" s="31"/>
      <c r="J46" s="31"/>
      <c r="K46"/>
      <c r="L46"/>
      <c r="M46"/>
      <c r="N46"/>
      <c r="O46"/>
      <c r="P46"/>
      <c r="Q46"/>
      <c r="R46"/>
      <c r="S46"/>
      <c r="T46"/>
      <c r="U46"/>
    </row>
    <row r="47" spans="2:21" ht="15" customHeight="1" x14ac:dyDescent="0.25">
      <c r="B47" s="31"/>
      <c r="C47" s="31"/>
      <c r="D47" s="31"/>
      <c r="E47" s="31"/>
      <c r="F47" s="31"/>
      <c r="G47" s="31"/>
      <c r="H47" s="31"/>
      <c r="I47" s="31"/>
      <c r="J47" s="31"/>
      <c r="K47"/>
      <c r="L47"/>
      <c r="M47"/>
      <c r="N47"/>
      <c r="O47"/>
      <c r="P47"/>
      <c r="Q47"/>
      <c r="R47"/>
      <c r="S47"/>
      <c r="T47"/>
      <c r="U47"/>
    </row>
    <row r="48" spans="2:21" ht="15" customHeight="1" x14ac:dyDescent="0.25">
      <c r="B48" s="31"/>
      <c r="C48" s="31"/>
      <c r="D48" s="31"/>
      <c r="E48" s="31"/>
      <c r="F48" s="31"/>
      <c r="G48" s="31"/>
      <c r="H48" s="31"/>
      <c r="I48" s="31"/>
      <c r="J48" s="31"/>
      <c r="K48"/>
      <c r="L48"/>
      <c r="M48"/>
      <c r="N48"/>
      <c r="O48"/>
      <c r="P48"/>
      <c r="Q48"/>
      <c r="R48"/>
      <c r="S48"/>
      <c r="T48"/>
      <c r="U48"/>
    </row>
    <row r="49" spans="2:21" ht="15" customHeight="1" x14ac:dyDescent="0.25">
      <c r="B49" s="31"/>
      <c r="C49" s="31"/>
      <c r="D49" s="31"/>
      <c r="E49" s="31"/>
      <c r="F49" s="31"/>
      <c r="G49" s="31"/>
      <c r="H49" s="31"/>
      <c r="I49" s="31"/>
      <c r="J49" s="31"/>
      <c r="K49"/>
      <c r="L49"/>
      <c r="M49"/>
      <c r="N49"/>
      <c r="O49"/>
      <c r="P49"/>
      <c r="Q49"/>
      <c r="R49"/>
      <c r="S49"/>
      <c r="T49"/>
      <c r="U49"/>
    </row>
    <row r="50" spans="2:21" ht="15" customHeight="1" x14ac:dyDescent="0.25">
      <c r="B50" s="31"/>
      <c r="C50" s="31"/>
      <c r="D50" s="31"/>
      <c r="E50" s="31"/>
      <c r="F50" s="31"/>
      <c r="G50" s="31"/>
      <c r="H50" s="31"/>
      <c r="I50" s="31"/>
      <c r="J50" s="31"/>
      <c r="K50"/>
      <c r="L50"/>
      <c r="M50"/>
      <c r="N50"/>
      <c r="O50"/>
      <c r="P50"/>
      <c r="Q50"/>
      <c r="R50"/>
      <c r="S50"/>
      <c r="T50"/>
      <c r="U50"/>
    </row>
    <row r="51" spans="2:21" ht="15" customHeight="1" x14ac:dyDescent="0.25">
      <c r="B51" s="31"/>
      <c r="C51" s="31"/>
      <c r="D51" s="31"/>
      <c r="E51" s="31"/>
      <c r="F51" s="31"/>
      <c r="G51" s="31"/>
      <c r="H51" s="31"/>
      <c r="I51" s="31"/>
      <c r="J51" s="31"/>
      <c r="K51"/>
      <c r="L51"/>
      <c r="M51"/>
      <c r="N51"/>
      <c r="O51"/>
      <c r="P51"/>
      <c r="Q51"/>
      <c r="R51"/>
      <c r="S51"/>
      <c r="T51"/>
      <c r="U51"/>
    </row>
    <row r="52" spans="2:21" ht="15" customHeight="1" x14ac:dyDescent="0.25">
      <c r="B52" s="31"/>
      <c r="C52" s="31"/>
      <c r="D52" s="31"/>
      <c r="E52" s="31"/>
      <c r="F52" s="31"/>
      <c r="G52" s="31"/>
      <c r="H52" s="31"/>
      <c r="I52" s="31"/>
      <c r="J52" s="31"/>
      <c r="K52"/>
      <c r="L52"/>
      <c r="M52"/>
      <c r="N52"/>
      <c r="O52"/>
      <c r="P52"/>
      <c r="Q52"/>
      <c r="R52"/>
      <c r="S52"/>
      <c r="T52"/>
      <c r="U52"/>
    </row>
    <row r="53" spans="2:21" ht="15" customHeight="1" x14ac:dyDescent="0.25">
      <c r="B53" s="31"/>
      <c r="C53" s="31"/>
      <c r="D53" s="31"/>
      <c r="E53" s="31"/>
      <c r="F53" s="31"/>
      <c r="G53" s="31"/>
      <c r="H53" s="31"/>
      <c r="I53" s="31"/>
      <c r="J53" s="31"/>
      <c r="K53"/>
      <c r="L53"/>
      <c r="M53"/>
      <c r="N53"/>
      <c r="O53"/>
      <c r="P53"/>
      <c r="Q53"/>
      <c r="R53"/>
      <c r="S53"/>
      <c r="T53"/>
      <c r="U53"/>
    </row>
    <row r="54" spans="2:21" ht="15" customHeight="1" x14ac:dyDescent="0.25">
      <c r="B54" s="31"/>
      <c r="C54" s="31"/>
      <c r="D54" s="31"/>
      <c r="E54" s="31"/>
      <c r="F54" s="31"/>
      <c r="G54" s="31"/>
      <c r="H54" s="31"/>
      <c r="I54" s="31"/>
      <c r="J54" s="31"/>
      <c r="K54"/>
      <c r="L54"/>
      <c r="M54"/>
      <c r="N54"/>
      <c r="O54"/>
      <c r="P54"/>
      <c r="Q54"/>
      <c r="R54"/>
      <c r="S54"/>
      <c r="T54"/>
      <c r="U54"/>
    </row>
    <row r="55" spans="2:21" ht="15" customHeight="1" x14ac:dyDescent="0.25">
      <c r="B55" s="31"/>
      <c r="C55" s="31"/>
      <c r="D55" s="31"/>
      <c r="E55" s="31"/>
      <c r="F55" s="31"/>
      <c r="G55" s="31"/>
      <c r="H55" s="31"/>
      <c r="I55" s="31"/>
      <c r="J55" s="31"/>
      <c r="K55"/>
      <c r="L55"/>
      <c r="M55"/>
      <c r="N55"/>
      <c r="O55"/>
      <c r="P55"/>
      <c r="Q55"/>
      <c r="R55"/>
      <c r="S55"/>
      <c r="T55"/>
      <c r="U55"/>
    </row>
    <row r="56" spans="2:21" ht="15" customHeight="1" x14ac:dyDescent="0.25">
      <c r="B56" s="31"/>
      <c r="C56" s="31"/>
      <c r="D56" s="31"/>
      <c r="E56" s="31"/>
      <c r="F56" s="31"/>
      <c r="G56" s="31"/>
      <c r="H56" s="31"/>
      <c r="I56" s="31"/>
      <c r="J56" s="31"/>
      <c r="K56"/>
      <c r="L56"/>
      <c r="M56"/>
      <c r="N56"/>
      <c r="O56"/>
      <c r="P56"/>
      <c r="Q56"/>
      <c r="R56"/>
      <c r="S56"/>
      <c r="T56"/>
      <c r="U56"/>
    </row>
    <row r="57" spans="2:21" ht="15" customHeight="1" x14ac:dyDescent="0.25">
      <c r="B57" s="31"/>
      <c r="C57" s="31"/>
      <c r="D57" s="31"/>
      <c r="E57" s="31"/>
      <c r="F57" s="31"/>
      <c r="G57" s="31"/>
      <c r="H57" s="31"/>
      <c r="I57" s="31"/>
      <c r="J57" s="31"/>
      <c r="K57"/>
      <c r="L57"/>
      <c r="M57"/>
      <c r="N57"/>
      <c r="O57"/>
      <c r="P57"/>
      <c r="Q57"/>
      <c r="R57"/>
      <c r="S57"/>
      <c r="T57"/>
      <c r="U57"/>
    </row>
    <row r="58" spans="2:21" ht="15" customHeight="1" x14ac:dyDescent="0.25">
      <c r="B58" s="31"/>
      <c r="C58" s="31"/>
      <c r="D58" s="31"/>
      <c r="E58" s="31"/>
      <c r="F58" s="31"/>
      <c r="G58" s="31"/>
      <c r="H58" s="31"/>
      <c r="I58" s="31"/>
      <c r="J58" s="31"/>
      <c r="K58"/>
      <c r="L58"/>
      <c r="M58"/>
      <c r="N58"/>
      <c r="O58"/>
      <c r="P58"/>
      <c r="Q58"/>
      <c r="R58"/>
      <c r="S58"/>
      <c r="T58"/>
      <c r="U58"/>
    </row>
    <row r="59" spans="2:21" ht="15" customHeight="1" x14ac:dyDescent="0.25">
      <c r="B59" s="31"/>
      <c r="C59" s="31"/>
      <c r="D59" s="31"/>
      <c r="E59" s="31"/>
      <c r="F59" s="31"/>
      <c r="G59" s="31"/>
      <c r="H59" s="31"/>
      <c r="I59" s="31"/>
      <c r="J59" s="31"/>
      <c r="K59"/>
      <c r="L59"/>
      <c r="M59"/>
      <c r="N59"/>
      <c r="O59"/>
      <c r="P59"/>
      <c r="Q59"/>
      <c r="R59"/>
      <c r="S59"/>
      <c r="T59"/>
      <c r="U59"/>
    </row>
    <row r="60" spans="2:21" ht="15" customHeight="1" x14ac:dyDescent="0.25">
      <c r="B60" s="31"/>
      <c r="C60" s="31"/>
      <c r="D60" s="31"/>
      <c r="E60" s="31"/>
      <c r="F60" s="31"/>
      <c r="G60" s="31"/>
      <c r="H60" s="31"/>
      <c r="I60" s="31"/>
      <c r="J60" s="31"/>
      <c r="K60"/>
      <c r="L60"/>
      <c r="M60"/>
      <c r="N60"/>
      <c r="O60"/>
      <c r="P60"/>
      <c r="Q60"/>
      <c r="R60"/>
      <c r="S60"/>
      <c r="T60"/>
      <c r="U60"/>
    </row>
    <row r="61" spans="2:21" ht="15" customHeight="1" x14ac:dyDescent="0.25">
      <c r="B61" s="31"/>
      <c r="C61" s="31"/>
      <c r="D61" s="31"/>
      <c r="E61" s="31"/>
      <c r="F61" s="31"/>
      <c r="G61" s="31"/>
      <c r="H61" s="31"/>
      <c r="I61" s="31"/>
      <c r="J61" s="31"/>
      <c r="K61"/>
      <c r="L61"/>
      <c r="M61"/>
      <c r="N61"/>
      <c r="O61"/>
      <c r="P61"/>
      <c r="Q61"/>
      <c r="R61"/>
      <c r="S61"/>
      <c r="T61"/>
      <c r="U61"/>
    </row>
    <row r="62" spans="2:21" ht="15" customHeight="1" x14ac:dyDescent="0.25">
      <c r="B62" s="31"/>
      <c r="C62" s="31"/>
      <c r="D62" s="31"/>
      <c r="E62" s="31"/>
      <c r="F62" s="31"/>
      <c r="G62" s="31"/>
      <c r="H62" s="31"/>
      <c r="I62" s="31"/>
      <c r="J62" s="31"/>
      <c r="K62"/>
      <c r="L62"/>
      <c r="M62"/>
      <c r="N62"/>
      <c r="O62"/>
      <c r="P62"/>
      <c r="Q62"/>
      <c r="R62"/>
      <c r="S62"/>
      <c r="T62"/>
      <c r="U62"/>
    </row>
    <row r="63" spans="2:21" ht="15" customHeight="1" x14ac:dyDescent="0.25">
      <c r="B63" s="31"/>
      <c r="C63" s="31"/>
      <c r="D63" s="31"/>
      <c r="E63" s="31"/>
      <c r="F63" s="31"/>
      <c r="G63" s="31"/>
      <c r="H63" s="31"/>
      <c r="I63" s="31"/>
      <c r="J63" s="31"/>
      <c r="K63"/>
      <c r="L63"/>
      <c r="M63"/>
      <c r="N63"/>
      <c r="O63"/>
      <c r="P63"/>
      <c r="Q63"/>
      <c r="R63"/>
      <c r="S63"/>
      <c r="T63"/>
      <c r="U63"/>
    </row>
    <row r="64" spans="2:21" ht="15" customHeight="1" x14ac:dyDescent="0.25">
      <c r="B64" s="31"/>
      <c r="C64" s="31"/>
      <c r="D64" s="31"/>
      <c r="E64" s="31"/>
      <c r="F64" s="31"/>
      <c r="G64" s="31"/>
      <c r="H64" s="31"/>
      <c r="I64" s="31"/>
      <c r="J64" s="31"/>
      <c r="K64"/>
      <c r="L64"/>
      <c r="M64"/>
      <c r="N64"/>
      <c r="O64"/>
      <c r="P64"/>
      <c r="Q64"/>
      <c r="R64"/>
      <c r="S64"/>
      <c r="T64"/>
      <c r="U64"/>
    </row>
    <row r="65" spans="2:21" ht="15" customHeight="1" x14ac:dyDescent="0.25">
      <c r="B65" s="31"/>
      <c r="C65" s="31"/>
      <c r="D65" s="31"/>
      <c r="E65" s="31"/>
      <c r="F65" s="31"/>
      <c r="G65" s="31"/>
      <c r="H65" s="31"/>
      <c r="I65" s="31"/>
      <c r="J65" s="31"/>
      <c r="K65"/>
      <c r="L65"/>
      <c r="M65"/>
      <c r="N65"/>
      <c r="O65"/>
      <c r="P65"/>
      <c r="Q65"/>
      <c r="R65"/>
      <c r="S65"/>
      <c r="T65"/>
      <c r="U65"/>
    </row>
    <row r="66" spans="2:21" ht="15" customHeight="1" x14ac:dyDescent="0.25">
      <c r="B66" s="31"/>
      <c r="C66" s="31"/>
      <c r="D66" s="31"/>
      <c r="E66" s="31"/>
      <c r="F66" s="31"/>
      <c r="G66" s="31"/>
      <c r="H66" s="31"/>
      <c r="I66" s="31"/>
      <c r="J66" s="31"/>
      <c r="K66"/>
      <c r="L66"/>
      <c r="M66"/>
      <c r="N66"/>
      <c r="O66"/>
      <c r="P66"/>
      <c r="Q66"/>
      <c r="R66"/>
      <c r="S66"/>
      <c r="T66"/>
      <c r="U66"/>
    </row>
    <row r="67" spans="2:21" ht="15" customHeight="1" x14ac:dyDescent="0.25">
      <c r="B67" s="31"/>
      <c r="C67" s="31"/>
      <c r="D67" s="31"/>
      <c r="E67" s="31"/>
      <c r="F67" s="31"/>
      <c r="G67" s="31"/>
      <c r="H67" s="31"/>
      <c r="I67" s="31"/>
      <c r="J67" s="31"/>
      <c r="K67"/>
      <c r="L67"/>
      <c r="M67"/>
      <c r="N67"/>
      <c r="O67"/>
      <c r="P67"/>
      <c r="Q67"/>
      <c r="R67"/>
      <c r="S67"/>
      <c r="T67"/>
      <c r="U67"/>
    </row>
    <row r="68" spans="2:21" ht="15" customHeight="1" x14ac:dyDescent="0.25">
      <c r="B68" s="31"/>
      <c r="C68" s="31"/>
      <c r="D68" s="31"/>
      <c r="E68" s="31"/>
      <c r="F68" s="31"/>
      <c r="G68" s="31"/>
      <c r="H68" s="31"/>
      <c r="I68" s="31"/>
      <c r="J68" s="31"/>
      <c r="K68"/>
      <c r="L68"/>
      <c r="M68"/>
      <c r="N68"/>
      <c r="O68"/>
      <c r="P68"/>
      <c r="Q68"/>
      <c r="R68"/>
      <c r="S68"/>
      <c r="T68"/>
      <c r="U68"/>
    </row>
    <row r="69" spans="2:21" ht="15" customHeight="1" x14ac:dyDescent="0.25">
      <c r="B69" s="31"/>
      <c r="C69" s="31"/>
      <c r="D69" s="31"/>
      <c r="E69" s="31"/>
      <c r="F69" s="31"/>
      <c r="G69" s="31"/>
      <c r="H69" s="31"/>
      <c r="I69" s="31"/>
      <c r="J69" s="31"/>
      <c r="K69"/>
      <c r="L69"/>
      <c r="M69"/>
      <c r="N69"/>
      <c r="O69"/>
      <c r="P69"/>
      <c r="Q69"/>
      <c r="R69"/>
      <c r="S69"/>
      <c r="T69"/>
      <c r="U69"/>
    </row>
    <row r="70" spans="2:21" ht="15" customHeight="1" x14ac:dyDescent="0.25">
      <c r="B70" s="31"/>
      <c r="C70" s="31"/>
      <c r="D70" s="31"/>
      <c r="E70" s="31"/>
      <c r="F70" s="31"/>
      <c r="G70" s="31"/>
      <c r="H70" s="31"/>
      <c r="I70" s="31"/>
      <c r="J70" s="31"/>
      <c r="K70"/>
      <c r="L70"/>
      <c r="M70"/>
      <c r="N70"/>
      <c r="O70"/>
      <c r="P70"/>
      <c r="Q70"/>
      <c r="R70"/>
      <c r="S70"/>
      <c r="T70"/>
      <c r="U70"/>
    </row>
    <row r="71" spans="2:21" ht="15" customHeight="1" x14ac:dyDescent="0.25">
      <c r="B71" s="31"/>
      <c r="C71" s="31"/>
      <c r="D71" s="31"/>
      <c r="E71" s="31"/>
      <c r="F71" s="31"/>
      <c r="G71" s="31"/>
      <c r="H71" s="31"/>
      <c r="I71" s="31"/>
      <c r="J71" s="31"/>
      <c r="K71"/>
      <c r="L71"/>
      <c r="M71"/>
      <c r="N71"/>
      <c r="O71"/>
      <c r="P71"/>
      <c r="Q71"/>
      <c r="R71"/>
      <c r="S71"/>
      <c r="T71"/>
      <c r="U71"/>
    </row>
    <row r="72" spans="2:21" ht="15" customHeight="1" x14ac:dyDescent="0.25">
      <c r="B72" s="31"/>
      <c r="C72" s="31"/>
      <c r="D72" s="31"/>
      <c r="E72" s="31"/>
      <c r="F72" s="31"/>
      <c r="G72" s="31"/>
      <c r="H72" s="31"/>
      <c r="I72" s="31"/>
      <c r="J72" s="31"/>
      <c r="K72"/>
      <c r="L72"/>
      <c r="M72"/>
      <c r="N72"/>
      <c r="O72"/>
      <c r="P72"/>
      <c r="Q72"/>
      <c r="R72"/>
      <c r="S72"/>
      <c r="T72"/>
      <c r="U72"/>
    </row>
    <row r="73" spans="2:21" ht="15" customHeight="1" x14ac:dyDescent="0.25">
      <c r="B73" s="31"/>
      <c r="C73" s="31"/>
      <c r="D73" s="31"/>
      <c r="E73" s="31"/>
      <c r="F73" s="31"/>
      <c r="G73" s="31"/>
      <c r="H73" s="31"/>
      <c r="I73" s="31"/>
      <c r="J73" s="31"/>
      <c r="K73"/>
      <c r="L73"/>
      <c r="M73"/>
      <c r="N73"/>
      <c r="O73"/>
      <c r="P73"/>
      <c r="Q73"/>
      <c r="R73"/>
      <c r="S73"/>
      <c r="T73"/>
      <c r="U73"/>
    </row>
    <row r="74" spans="2:21" ht="15" customHeight="1" x14ac:dyDescent="0.25">
      <c r="B74" s="31"/>
      <c r="C74" s="31"/>
      <c r="D74" s="31"/>
      <c r="E74" s="31"/>
      <c r="F74" s="31"/>
      <c r="G74" s="31"/>
      <c r="H74" s="31"/>
      <c r="I74" s="31"/>
      <c r="J74" s="31"/>
      <c r="K74"/>
      <c r="L74"/>
      <c r="M74"/>
      <c r="N74"/>
      <c r="O74"/>
      <c r="P74"/>
      <c r="Q74"/>
      <c r="R74"/>
      <c r="S74"/>
      <c r="T74"/>
      <c r="U74"/>
    </row>
    <row r="75" spans="2:21" ht="15" customHeight="1" x14ac:dyDescent="0.25">
      <c r="B75" s="31"/>
      <c r="C75" s="31"/>
      <c r="D75" s="31"/>
      <c r="E75" s="31"/>
      <c r="F75" s="31"/>
      <c r="G75" s="31"/>
      <c r="H75" s="31"/>
      <c r="I75" s="31"/>
      <c r="J75" s="31"/>
      <c r="K75"/>
      <c r="L75"/>
      <c r="M75"/>
      <c r="N75"/>
      <c r="O75"/>
      <c r="P75"/>
      <c r="Q75"/>
      <c r="R75"/>
      <c r="S75"/>
      <c r="T75"/>
      <c r="U75"/>
    </row>
    <row r="76" spans="2:21" ht="15" customHeight="1" x14ac:dyDescent="0.25">
      <c r="B76" s="31"/>
      <c r="C76" s="31"/>
      <c r="D76" s="31"/>
      <c r="E76" s="31"/>
      <c r="F76" s="31"/>
      <c r="G76" s="31"/>
      <c r="H76" s="31"/>
      <c r="I76" s="31"/>
      <c r="J76" s="31"/>
      <c r="K76"/>
      <c r="L76"/>
      <c r="M76"/>
      <c r="N76"/>
      <c r="O76"/>
      <c r="P76"/>
      <c r="Q76"/>
      <c r="R76"/>
      <c r="S76"/>
      <c r="T76"/>
      <c r="U76"/>
    </row>
    <row r="77" spans="2:21" ht="15" customHeight="1" x14ac:dyDescent="0.25">
      <c r="B77" s="31"/>
      <c r="C77" s="31"/>
      <c r="D77" s="31"/>
      <c r="E77" s="31"/>
      <c r="F77" s="31"/>
      <c r="G77" s="31"/>
      <c r="H77" s="31"/>
      <c r="I77" s="31"/>
      <c r="J77" s="31"/>
      <c r="K77"/>
      <c r="L77"/>
      <c r="M77"/>
      <c r="N77"/>
      <c r="O77"/>
      <c r="P77"/>
      <c r="Q77"/>
      <c r="R77"/>
      <c r="S77"/>
      <c r="T77"/>
      <c r="U77"/>
    </row>
    <row r="78" spans="2:21" ht="15" customHeight="1" x14ac:dyDescent="0.25">
      <c r="B78" s="31"/>
      <c r="C78" s="31"/>
      <c r="D78" s="31"/>
      <c r="E78" s="31"/>
      <c r="F78" s="31"/>
      <c r="G78" s="31"/>
      <c r="H78" s="31"/>
      <c r="I78" s="31"/>
      <c r="J78" s="31"/>
      <c r="K78"/>
      <c r="L78"/>
      <c r="M78"/>
      <c r="N78"/>
      <c r="O78"/>
      <c r="P78"/>
      <c r="Q78"/>
      <c r="R78"/>
      <c r="S78"/>
      <c r="T78"/>
      <c r="U78"/>
    </row>
    <row r="79" spans="2:21" ht="15" customHeight="1" x14ac:dyDescent="0.25">
      <c r="B79" s="31"/>
      <c r="C79" s="31"/>
      <c r="D79" s="31"/>
      <c r="E79" s="31"/>
      <c r="F79" s="31"/>
      <c r="G79" s="31"/>
      <c r="H79" s="31"/>
      <c r="I79" s="31"/>
      <c r="J79" s="31"/>
      <c r="K79"/>
      <c r="L79"/>
      <c r="M79"/>
      <c r="N79"/>
      <c r="O79"/>
      <c r="P79"/>
      <c r="Q79"/>
      <c r="R79"/>
      <c r="S79"/>
      <c r="T79"/>
      <c r="U79"/>
    </row>
    <row r="80" spans="2:21" ht="15" customHeight="1" x14ac:dyDescent="0.25">
      <c r="B80" s="31"/>
      <c r="C80" s="31"/>
      <c r="D80" s="31"/>
      <c r="E80" s="31"/>
      <c r="F80" s="31"/>
      <c r="G80" s="31"/>
      <c r="H80" s="31"/>
      <c r="I80" s="31"/>
      <c r="J80" s="31"/>
      <c r="K80"/>
      <c r="L80"/>
      <c r="M80"/>
      <c r="N80"/>
      <c r="O80"/>
      <c r="P80"/>
      <c r="Q80"/>
      <c r="R80"/>
      <c r="S80"/>
      <c r="T80"/>
      <c r="U80"/>
    </row>
    <row r="81" spans="2:21" ht="15" customHeight="1" x14ac:dyDescent="0.25">
      <c r="B81" s="31"/>
      <c r="C81" s="31"/>
      <c r="D81" s="31"/>
      <c r="E81" s="31"/>
      <c r="F81" s="31"/>
      <c r="G81" s="31"/>
      <c r="H81" s="31"/>
      <c r="I81" s="31"/>
      <c r="J81" s="31"/>
      <c r="K81"/>
      <c r="L81"/>
      <c r="M81"/>
      <c r="N81"/>
      <c r="O81"/>
      <c r="P81"/>
      <c r="Q81"/>
      <c r="R81"/>
      <c r="S81"/>
      <c r="T81"/>
      <c r="U81"/>
    </row>
    <row r="82" spans="2:21" ht="15" customHeight="1" x14ac:dyDescent="0.25">
      <c r="B82" s="31"/>
      <c r="C82" s="31"/>
      <c r="D82" s="31"/>
      <c r="E82" s="31"/>
      <c r="F82" s="31"/>
      <c r="G82" s="31"/>
      <c r="H82" s="31"/>
      <c r="I82" s="31"/>
      <c r="J82" s="31"/>
      <c r="K82"/>
      <c r="L82"/>
      <c r="M82"/>
      <c r="N82"/>
      <c r="O82"/>
      <c r="P82"/>
      <c r="Q82"/>
      <c r="R82"/>
      <c r="S82"/>
      <c r="T82"/>
      <c r="U82"/>
    </row>
    <row r="83" spans="2:21" ht="15" customHeight="1" x14ac:dyDescent="0.25">
      <c r="B83" s="31"/>
      <c r="C83" s="31"/>
      <c r="D83" s="31"/>
      <c r="E83" s="31"/>
      <c r="F83" s="31"/>
      <c r="G83" s="31"/>
      <c r="H83" s="31"/>
      <c r="I83" s="31"/>
      <c r="J83" s="31"/>
      <c r="K83"/>
      <c r="L83"/>
      <c r="M83"/>
      <c r="N83"/>
      <c r="O83"/>
      <c r="P83"/>
      <c r="Q83"/>
      <c r="R83"/>
      <c r="S83"/>
      <c r="T83"/>
      <c r="U83"/>
    </row>
    <row r="84" spans="2:21" ht="15" customHeight="1" x14ac:dyDescent="0.25">
      <c r="B84" s="31"/>
      <c r="C84" s="31"/>
      <c r="D84" s="31"/>
      <c r="E84" s="31"/>
      <c r="F84" s="31"/>
      <c r="G84" s="31"/>
      <c r="H84" s="31"/>
      <c r="I84" s="31"/>
      <c r="J84" s="31"/>
      <c r="K84"/>
      <c r="L84"/>
      <c r="M84"/>
      <c r="N84"/>
      <c r="O84"/>
      <c r="P84"/>
      <c r="Q84"/>
      <c r="R84"/>
      <c r="S84"/>
      <c r="T84"/>
      <c r="U84"/>
    </row>
    <row r="85" spans="2:21" ht="15" customHeight="1" x14ac:dyDescent="0.25">
      <c r="B85" s="31"/>
      <c r="C85" s="31"/>
      <c r="D85" s="31"/>
      <c r="E85" s="31"/>
      <c r="F85" s="31"/>
      <c r="G85" s="31"/>
      <c r="H85" s="31"/>
      <c r="I85" s="31"/>
      <c r="J85" s="31"/>
      <c r="K85"/>
      <c r="L85"/>
      <c r="M85"/>
      <c r="N85"/>
      <c r="O85"/>
      <c r="P85"/>
      <c r="Q85"/>
      <c r="R85"/>
      <c r="S85"/>
      <c r="T85"/>
      <c r="U85"/>
    </row>
    <row r="86" spans="2:21" ht="15" customHeight="1" x14ac:dyDescent="0.25">
      <c r="B86" s="31"/>
      <c r="C86" s="31"/>
      <c r="D86" s="31"/>
      <c r="E86" s="31"/>
      <c r="F86" s="31"/>
      <c r="G86" s="31"/>
      <c r="H86" s="31"/>
      <c r="I86" s="31"/>
      <c r="J86" s="31"/>
      <c r="K86"/>
      <c r="L86"/>
      <c r="M86"/>
      <c r="N86"/>
      <c r="O86"/>
      <c r="P86"/>
      <c r="Q86"/>
      <c r="R86"/>
      <c r="S86"/>
      <c r="T86"/>
      <c r="U86"/>
    </row>
    <row r="87" spans="2:21" ht="15" customHeight="1" x14ac:dyDescent="0.25">
      <c r="B87" s="31"/>
      <c r="C87" s="31"/>
      <c r="D87" s="31"/>
      <c r="E87" s="31"/>
      <c r="F87" s="31"/>
      <c r="G87" s="31"/>
      <c r="H87" s="31"/>
      <c r="I87" s="31"/>
      <c r="J87" s="31"/>
      <c r="K87"/>
      <c r="L87"/>
      <c r="M87"/>
      <c r="N87"/>
      <c r="O87"/>
      <c r="P87"/>
      <c r="Q87"/>
      <c r="R87"/>
      <c r="S87"/>
      <c r="T87"/>
      <c r="U87"/>
    </row>
    <row r="88" spans="2:21" ht="15" customHeight="1" x14ac:dyDescent="0.25">
      <c r="B88" s="31"/>
      <c r="C88" s="31"/>
      <c r="D88" s="31"/>
      <c r="E88" s="31"/>
      <c r="F88" s="31"/>
      <c r="G88" s="31"/>
      <c r="H88" s="31"/>
      <c r="I88" s="31"/>
      <c r="J88" s="31"/>
      <c r="K88"/>
      <c r="L88"/>
      <c r="M88"/>
      <c r="N88"/>
      <c r="O88"/>
      <c r="P88"/>
      <c r="Q88"/>
      <c r="R88"/>
      <c r="S88"/>
      <c r="T88"/>
      <c r="U88"/>
    </row>
    <row r="89" spans="2:21" ht="15" customHeight="1" x14ac:dyDescent="0.25">
      <c r="B89" s="31"/>
      <c r="C89" s="31"/>
      <c r="D89" s="31"/>
      <c r="E89" s="31"/>
      <c r="F89" s="31"/>
      <c r="G89" s="31"/>
      <c r="H89" s="31"/>
      <c r="I89" s="31"/>
      <c r="J89" s="31"/>
      <c r="K89"/>
      <c r="L89"/>
      <c r="M89"/>
      <c r="N89"/>
      <c r="O89"/>
      <c r="P89"/>
      <c r="Q89"/>
      <c r="R89"/>
      <c r="S89"/>
      <c r="T89"/>
      <c r="U89"/>
    </row>
    <row r="90" spans="2:21" ht="15" customHeight="1" x14ac:dyDescent="0.25">
      <c r="B90" s="31"/>
      <c r="C90" s="31"/>
      <c r="D90" s="31"/>
      <c r="E90" s="31"/>
      <c r="F90" s="31"/>
      <c r="G90" s="31"/>
      <c r="H90" s="31"/>
      <c r="I90" s="31"/>
      <c r="J90" s="31"/>
      <c r="K90"/>
      <c r="L90"/>
      <c r="M90"/>
      <c r="N90"/>
      <c r="O90"/>
      <c r="P90"/>
      <c r="Q90"/>
      <c r="R90"/>
      <c r="S90"/>
      <c r="T90"/>
      <c r="U90"/>
    </row>
    <row r="91" spans="2:21" ht="15" customHeight="1" x14ac:dyDescent="0.25">
      <c r="B91" s="31"/>
      <c r="C91" s="31"/>
      <c r="D91" s="31"/>
      <c r="E91" s="31"/>
      <c r="F91" s="31"/>
      <c r="G91" s="31"/>
      <c r="H91" s="31"/>
      <c r="I91" s="31"/>
      <c r="J91" s="31"/>
      <c r="K91"/>
      <c r="L91"/>
      <c r="M91"/>
      <c r="N91"/>
      <c r="O91"/>
      <c r="P91"/>
      <c r="Q91"/>
      <c r="R91"/>
      <c r="S91"/>
      <c r="T91"/>
      <c r="U91"/>
    </row>
    <row r="92" spans="2:21" ht="15" customHeight="1" x14ac:dyDescent="0.25">
      <c r="B92" s="31"/>
      <c r="C92" s="31"/>
      <c r="D92" s="31"/>
      <c r="E92" s="31"/>
      <c r="F92" s="31"/>
      <c r="G92" s="31"/>
      <c r="H92" s="31"/>
      <c r="I92" s="31"/>
      <c r="J92" s="31"/>
      <c r="K92"/>
      <c r="L92"/>
      <c r="M92"/>
      <c r="N92"/>
      <c r="O92"/>
      <c r="P92"/>
      <c r="Q92"/>
      <c r="R92"/>
      <c r="S92"/>
      <c r="T92"/>
      <c r="U92"/>
    </row>
    <row r="93" spans="2:21" ht="15" customHeight="1" x14ac:dyDescent="0.25">
      <c r="B93" s="31"/>
      <c r="C93" s="31"/>
      <c r="D93" s="31"/>
      <c r="E93" s="31"/>
      <c r="F93" s="31"/>
      <c r="G93" s="31"/>
      <c r="H93" s="31"/>
      <c r="I93" s="31"/>
      <c r="J93" s="31"/>
      <c r="K93"/>
      <c r="L93"/>
      <c r="M93"/>
      <c r="N93"/>
      <c r="O93"/>
      <c r="P93"/>
      <c r="Q93"/>
      <c r="R93"/>
      <c r="S93"/>
      <c r="T93"/>
      <c r="U93"/>
    </row>
    <row r="94" spans="2:21" ht="15" customHeight="1" x14ac:dyDescent="0.25">
      <c r="B94" s="31"/>
      <c r="C94" s="31"/>
      <c r="D94" s="31"/>
      <c r="E94" s="31"/>
      <c r="F94" s="31"/>
      <c r="G94" s="31"/>
      <c r="H94" s="31"/>
      <c r="I94" s="31"/>
      <c r="J94" s="31"/>
      <c r="K94"/>
      <c r="L94"/>
      <c r="M94"/>
      <c r="N94"/>
      <c r="O94"/>
      <c r="P94"/>
      <c r="Q94"/>
      <c r="R94"/>
      <c r="S94"/>
      <c r="T94"/>
      <c r="U94"/>
    </row>
    <row r="95" spans="2:21" ht="15" customHeight="1" x14ac:dyDescent="0.25">
      <c r="B95" s="31"/>
      <c r="C95" s="31"/>
      <c r="D95" s="31"/>
      <c r="E95" s="31"/>
      <c r="F95" s="31"/>
      <c r="G95" s="31"/>
      <c r="H95" s="31"/>
      <c r="I95" s="31"/>
      <c r="J95" s="31"/>
      <c r="K95"/>
      <c r="L95"/>
      <c r="M95"/>
      <c r="N95"/>
      <c r="O95"/>
      <c r="P95"/>
      <c r="Q95"/>
      <c r="R95"/>
      <c r="S95"/>
      <c r="T95"/>
      <c r="U95"/>
    </row>
    <row r="96" spans="2:21" ht="15" customHeight="1" x14ac:dyDescent="0.25">
      <c r="B96" s="31"/>
      <c r="C96" s="31"/>
      <c r="D96" s="31"/>
      <c r="E96" s="31"/>
      <c r="F96" s="31"/>
      <c r="G96" s="31"/>
      <c r="H96" s="31"/>
      <c r="I96" s="31"/>
      <c r="J96" s="31"/>
      <c r="K96"/>
      <c r="L96"/>
      <c r="M96"/>
      <c r="N96"/>
      <c r="O96"/>
      <c r="P96"/>
      <c r="Q96"/>
      <c r="R96"/>
      <c r="S96"/>
      <c r="T96"/>
      <c r="U96"/>
    </row>
    <row r="97" spans="2:21" ht="15" customHeight="1" x14ac:dyDescent="0.25">
      <c r="B97" s="31"/>
      <c r="C97" s="31"/>
      <c r="D97" s="31"/>
      <c r="E97" s="31"/>
      <c r="F97" s="31"/>
      <c r="G97" s="31"/>
      <c r="H97" s="31"/>
      <c r="I97" s="31"/>
      <c r="J97" s="31"/>
      <c r="K97"/>
      <c r="L97"/>
      <c r="M97"/>
      <c r="N97"/>
      <c r="O97"/>
      <c r="P97"/>
      <c r="Q97"/>
      <c r="R97"/>
      <c r="S97"/>
      <c r="T97"/>
      <c r="U97"/>
    </row>
    <row r="98" spans="2:21" ht="15" customHeight="1" x14ac:dyDescent="0.25">
      <c r="B98" s="31"/>
      <c r="C98" s="31"/>
      <c r="D98" s="31"/>
      <c r="E98" s="31"/>
      <c r="F98" s="31"/>
      <c r="G98" s="31"/>
      <c r="H98" s="31"/>
      <c r="I98" s="31"/>
      <c r="J98" s="31"/>
      <c r="K98"/>
      <c r="L98"/>
      <c r="M98"/>
      <c r="N98"/>
      <c r="O98"/>
      <c r="P98"/>
      <c r="Q98"/>
      <c r="R98"/>
      <c r="S98"/>
      <c r="T98"/>
      <c r="U98"/>
    </row>
    <row r="99" spans="2:21" ht="15" customHeight="1" x14ac:dyDescent="0.25">
      <c r="B99" s="31"/>
      <c r="C99" s="31"/>
      <c r="D99" s="31"/>
      <c r="E99" s="31"/>
      <c r="F99" s="31"/>
      <c r="G99" s="31"/>
      <c r="H99" s="31"/>
      <c r="I99" s="31"/>
      <c r="J99" s="31"/>
      <c r="K99"/>
      <c r="L99"/>
      <c r="M99"/>
      <c r="N99"/>
      <c r="O99"/>
      <c r="P99"/>
      <c r="Q99"/>
      <c r="R99"/>
      <c r="S99"/>
      <c r="T99"/>
      <c r="U99"/>
    </row>
    <row r="100" spans="2:21" ht="15" customHeight="1" x14ac:dyDescent="0.25">
      <c r="B100" s="31"/>
      <c r="C100" s="31"/>
      <c r="D100" s="31"/>
      <c r="E100" s="31"/>
      <c r="F100" s="31"/>
      <c r="G100" s="31"/>
      <c r="H100" s="31"/>
      <c r="I100" s="31"/>
      <c r="J100" s="31"/>
      <c r="K100"/>
      <c r="L100"/>
      <c r="M100"/>
      <c r="N100"/>
      <c r="O100"/>
      <c r="P100"/>
      <c r="Q100"/>
      <c r="R100"/>
      <c r="S100"/>
      <c r="T100"/>
      <c r="U100"/>
    </row>
    <row r="101" spans="2:21" ht="15" customHeight="1" x14ac:dyDescent="0.25">
      <c r="B101" s="31"/>
      <c r="C101" s="31"/>
      <c r="D101" s="31"/>
      <c r="E101" s="31"/>
      <c r="F101" s="31"/>
      <c r="G101" s="31"/>
      <c r="H101" s="31"/>
      <c r="I101" s="31"/>
      <c r="J101" s="31"/>
      <c r="K101"/>
      <c r="L101"/>
      <c r="M101"/>
      <c r="N101"/>
      <c r="O101"/>
      <c r="P101"/>
      <c r="Q101"/>
      <c r="R101"/>
      <c r="S101"/>
      <c r="T101"/>
      <c r="U101"/>
    </row>
  </sheetData>
  <mergeCells count="1">
    <mergeCell ref="H1:I1"/>
  </mergeCells>
  <conditionalFormatting sqref="B1">
    <cfRule type="cellIs" dxfId="11" priority="1" operator="equal">
      <formula>"Incomplete"</formula>
    </cfRule>
    <cfRule type="cellIs" dxfId="10" priority="2" operator="equal">
      <formula>"Flag for Review"</formula>
    </cfRule>
    <cfRule type="cellIs" dxfId="9" priority="3" operator="equal">
      <formula>"Finished"</formula>
    </cfRule>
  </conditionalFormatting>
  <dataValidations count="1">
    <dataValidation type="list" allowBlank="1" showInputMessage="1" showErrorMessage="1" sqref="B1">
      <formula1>"Finished, Flag for Review, Incomplete"</formula1>
    </dataValidation>
  </dataValidations>
  <hyperlinks>
    <hyperlink ref="H1" location="'Point Grid'!A8" display="Return to Point Grid"/>
    <hyperlink ref="H1:I1" location="'Point Grid'!A1" display="Return to Point Grid"/>
  </hyperlink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V140"/>
  <sheetViews>
    <sheetView workbookViewId="0"/>
  </sheetViews>
  <sheetFormatPr defaultColWidth="9.140625" defaultRowHeight="15" x14ac:dyDescent="0.25"/>
  <cols>
    <col min="1" max="1" width="9.140625" style="21"/>
    <col min="2" max="2" width="16" style="21" customWidth="1"/>
    <col min="3" max="3" width="11.140625" style="21" customWidth="1"/>
    <col min="4" max="7" width="20.7109375" style="21" customWidth="1"/>
    <col min="8" max="9" width="11.140625" style="21" customWidth="1"/>
    <col min="10" max="16384" width="9.140625" style="21"/>
  </cols>
  <sheetData>
    <row r="1" spans="1:22" x14ac:dyDescent="0.25">
      <c r="A1" s="7">
        <v>28</v>
      </c>
      <c r="B1" s="27" t="s">
        <v>12</v>
      </c>
      <c r="C1" s="20"/>
      <c r="D1" s="20"/>
      <c r="E1" s="20"/>
      <c r="F1" s="20"/>
      <c r="G1" s="20"/>
      <c r="H1" s="384" t="s">
        <v>24</v>
      </c>
      <c r="I1" s="385"/>
      <c r="K1"/>
      <c r="L1"/>
      <c r="M1"/>
      <c r="N1"/>
      <c r="O1"/>
      <c r="P1"/>
      <c r="Q1"/>
      <c r="R1"/>
      <c r="S1"/>
      <c r="T1"/>
      <c r="U1"/>
      <c r="V1"/>
    </row>
    <row r="2" spans="1:22" x14ac:dyDescent="0.25">
      <c r="A2" s="22"/>
      <c r="B2" s="19"/>
      <c r="C2" s="19"/>
      <c r="D2" s="19"/>
      <c r="E2" s="19"/>
      <c r="F2" s="19"/>
      <c r="G2" s="19"/>
      <c r="H2" s="19"/>
      <c r="I2" s="23"/>
      <c r="K2"/>
      <c r="L2"/>
      <c r="M2"/>
      <c r="N2"/>
      <c r="O2"/>
      <c r="P2"/>
      <c r="Q2"/>
      <c r="R2"/>
      <c r="S2"/>
      <c r="T2"/>
      <c r="U2"/>
      <c r="V2"/>
    </row>
    <row r="3" spans="1:22" x14ac:dyDescent="0.25">
      <c r="A3" s="8" t="s">
        <v>13</v>
      </c>
      <c r="B3" s="17"/>
      <c r="C3" s="17"/>
      <c r="D3" s="17"/>
      <c r="E3" s="17"/>
      <c r="F3" s="17"/>
      <c r="G3" s="17"/>
      <c r="H3" s="17"/>
      <c r="I3" s="18"/>
      <c r="J3" s="31"/>
      <c r="K3"/>
      <c r="L3"/>
      <c r="M3"/>
      <c r="N3"/>
      <c r="O3"/>
      <c r="P3"/>
      <c r="Q3"/>
      <c r="R3"/>
      <c r="S3"/>
      <c r="T3"/>
      <c r="U3"/>
      <c r="V3"/>
    </row>
    <row r="4" spans="1:22" x14ac:dyDescent="0.25">
      <c r="A4" s="9">
        <f>INDEX('Point Grid'!B:B,MATCH(A1,'Point Grid'!A:A,0))</f>
        <v>3</v>
      </c>
      <c r="B4" s="17"/>
      <c r="C4" s="17"/>
      <c r="D4" s="17"/>
      <c r="E4" s="17"/>
      <c r="F4" s="17"/>
      <c r="G4" s="17"/>
      <c r="H4" s="17"/>
      <c r="I4" s="18"/>
      <c r="J4" s="31"/>
      <c r="K4"/>
      <c r="L4"/>
      <c r="M4"/>
      <c r="N4"/>
      <c r="O4"/>
      <c r="P4"/>
      <c r="Q4"/>
      <c r="R4"/>
      <c r="S4"/>
      <c r="T4"/>
      <c r="U4"/>
      <c r="V4"/>
    </row>
    <row r="5" spans="1:22" x14ac:dyDescent="0.25">
      <c r="A5" s="16"/>
      <c r="B5" s="17"/>
      <c r="C5" s="17"/>
      <c r="D5" s="17"/>
      <c r="E5" s="17"/>
      <c r="F5" s="17"/>
      <c r="G5" s="17"/>
      <c r="H5" s="17"/>
      <c r="I5" s="18"/>
      <c r="J5" s="31"/>
      <c r="K5"/>
      <c r="L5"/>
      <c r="M5"/>
      <c r="N5"/>
      <c r="O5"/>
      <c r="P5"/>
      <c r="Q5"/>
      <c r="R5"/>
      <c r="S5"/>
      <c r="T5"/>
      <c r="U5"/>
      <c r="V5"/>
    </row>
    <row r="6" spans="1:22" x14ac:dyDescent="0.25">
      <c r="A6" s="25" t="s">
        <v>2</v>
      </c>
      <c r="B6" s="17" t="s">
        <v>377</v>
      </c>
      <c r="C6" s="17"/>
      <c r="D6" s="17"/>
      <c r="E6" s="17"/>
      <c r="F6" s="17"/>
      <c r="G6" s="17"/>
      <c r="H6" s="17"/>
      <c r="I6" s="18"/>
      <c r="J6" s="31"/>
      <c r="K6"/>
      <c r="L6"/>
      <c r="M6"/>
      <c r="N6"/>
      <c r="O6"/>
      <c r="P6"/>
      <c r="Q6"/>
      <c r="R6"/>
      <c r="S6"/>
      <c r="T6"/>
      <c r="U6"/>
      <c r="V6"/>
    </row>
    <row r="7" spans="1:22" ht="15.75" thickBot="1" x14ac:dyDescent="0.3">
      <c r="A7" s="9">
        <f>INDEX('Point Grid'!$C$8:$I$54,MATCH($A$1,'Point Grid'!$A$8:$A$54,0),MATCH(A6,'Point Grid'!$C$7:$I$7,0))</f>
        <v>0.5</v>
      </c>
      <c r="B7" s="17" t="s">
        <v>378</v>
      </c>
      <c r="C7" s="17"/>
      <c r="D7" s="17"/>
      <c r="E7" s="17"/>
      <c r="F7" s="17"/>
      <c r="G7" s="17"/>
      <c r="H7" s="17"/>
      <c r="I7" s="18"/>
      <c r="J7" s="31"/>
      <c r="K7"/>
      <c r="L7"/>
      <c r="M7"/>
      <c r="N7"/>
      <c r="O7"/>
      <c r="P7"/>
      <c r="Q7"/>
      <c r="R7"/>
      <c r="S7"/>
      <c r="T7"/>
      <c r="U7"/>
      <c r="V7"/>
    </row>
    <row r="8" spans="1:22" ht="15.75" thickBot="1" x14ac:dyDescent="0.3">
      <c r="A8" s="5"/>
      <c r="B8" s="17"/>
      <c r="C8" s="28"/>
      <c r="D8" s="28"/>
      <c r="E8" s="28"/>
      <c r="F8" s="28"/>
      <c r="G8" s="28"/>
      <c r="H8" s="28"/>
      <c r="I8" s="18"/>
      <c r="J8" s="31"/>
      <c r="K8"/>
      <c r="L8"/>
      <c r="M8"/>
      <c r="N8"/>
      <c r="O8"/>
      <c r="P8"/>
      <c r="Q8"/>
      <c r="R8"/>
      <c r="S8"/>
      <c r="T8"/>
      <c r="U8"/>
      <c r="V8"/>
    </row>
    <row r="9" spans="1:22" x14ac:dyDescent="0.25">
      <c r="A9" s="25"/>
      <c r="B9" s="17"/>
      <c r="C9" s="348" t="s">
        <v>73</v>
      </c>
      <c r="D9" s="348" t="s">
        <v>374</v>
      </c>
      <c r="E9" s="348" t="s">
        <v>77</v>
      </c>
      <c r="F9" s="348" t="s">
        <v>374</v>
      </c>
      <c r="G9" s="348" t="s">
        <v>77</v>
      </c>
      <c r="H9" s="17"/>
      <c r="I9" s="18"/>
      <c r="J9" s="31"/>
      <c r="K9"/>
      <c r="L9"/>
      <c r="M9"/>
      <c r="N9"/>
      <c r="O9"/>
      <c r="P9"/>
      <c r="Q9"/>
      <c r="R9"/>
      <c r="S9"/>
      <c r="T9"/>
      <c r="U9"/>
      <c r="V9"/>
    </row>
    <row r="10" spans="1:22" ht="15.75" thickBot="1" x14ac:dyDescent="0.3">
      <c r="A10" s="25"/>
      <c r="B10" s="17"/>
      <c r="C10" s="349"/>
      <c r="D10" s="349" t="s">
        <v>375</v>
      </c>
      <c r="E10" s="349" t="s">
        <v>375</v>
      </c>
      <c r="F10" s="349" t="s">
        <v>376</v>
      </c>
      <c r="G10" s="349" t="s">
        <v>376</v>
      </c>
      <c r="H10" s="17"/>
      <c r="I10" s="18"/>
      <c r="J10" s="31"/>
      <c r="K10"/>
      <c r="L10"/>
      <c r="M10"/>
      <c r="N10"/>
      <c r="O10"/>
      <c r="P10"/>
      <c r="Q10"/>
      <c r="R10"/>
      <c r="S10"/>
      <c r="T10"/>
      <c r="U10"/>
      <c r="V10"/>
    </row>
    <row r="11" spans="1:22" ht="15.75" thickBot="1" x14ac:dyDescent="0.3">
      <c r="A11" s="25"/>
      <c r="B11" s="17"/>
      <c r="C11" s="350">
        <v>2020</v>
      </c>
      <c r="D11" s="351">
        <v>1000</v>
      </c>
      <c r="E11" s="351">
        <v>1000</v>
      </c>
      <c r="F11" s="351">
        <v>1000</v>
      </c>
      <c r="G11" s="351">
        <v>1000</v>
      </c>
      <c r="H11" s="17"/>
      <c r="I11" s="18"/>
      <c r="J11" s="31"/>
      <c r="K11"/>
      <c r="L11"/>
      <c r="M11"/>
      <c r="N11"/>
      <c r="O11"/>
      <c r="P11"/>
      <c r="Q11"/>
      <c r="R11"/>
      <c r="S11"/>
      <c r="T11"/>
      <c r="U11"/>
      <c r="V11"/>
    </row>
    <row r="12" spans="1:22" ht="15.75" thickBot="1" x14ac:dyDescent="0.3">
      <c r="A12" s="25"/>
      <c r="B12" s="17"/>
      <c r="C12" s="350">
        <v>2021</v>
      </c>
      <c r="D12" s="351">
        <v>1000</v>
      </c>
      <c r="E12" s="351">
        <v>1000</v>
      </c>
      <c r="F12" s="351">
        <v>1000</v>
      </c>
      <c r="G12" s="351">
        <v>1000</v>
      </c>
      <c r="H12" s="17"/>
      <c r="I12" s="18"/>
      <c r="J12" s="31"/>
      <c r="K12"/>
      <c r="L12"/>
      <c r="M12"/>
      <c r="N12"/>
      <c r="O12"/>
      <c r="P12"/>
      <c r="Q12"/>
      <c r="R12"/>
      <c r="S12"/>
      <c r="T12"/>
      <c r="U12"/>
      <c r="V12"/>
    </row>
    <row r="13" spans="1:22" ht="15.75" thickBot="1" x14ac:dyDescent="0.3">
      <c r="A13" s="25"/>
      <c r="B13" s="17"/>
      <c r="C13" s="350">
        <v>2022</v>
      </c>
      <c r="D13" s="351">
        <v>1000</v>
      </c>
      <c r="E13" s="351">
        <v>1000</v>
      </c>
      <c r="F13" s="351">
        <v>1000</v>
      </c>
      <c r="G13" s="351">
        <v>1000</v>
      </c>
      <c r="H13" s="17"/>
      <c r="I13" s="18"/>
      <c r="J13" s="31"/>
      <c r="K13"/>
      <c r="L13"/>
      <c r="M13"/>
      <c r="N13"/>
      <c r="O13"/>
      <c r="P13"/>
      <c r="Q13"/>
      <c r="R13"/>
      <c r="S13"/>
      <c r="T13"/>
      <c r="U13"/>
      <c r="V13"/>
    </row>
    <row r="14" spans="1:22" ht="15.75" thickBot="1" x14ac:dyDescent="0.3">
      <c r="A14" s="25"/>
      <c r="B14" s="17"/>
      <c r="C14" s="350">
        <v>2023</v>
      </c>
      <c r="D14" s="351">
        <v>1000</v>
      </c>
      <c r="E14" s="352">
        <v>1050</v>
      </c>
      <c r="F14" s="351">
        <v>1000</v>
      </c>
      <c r="G14" s="351">
        <v>1000</v>
      </c>
      <c r="H14" s="17"/>
      <c r="I14" s="18"/>
      <c r="J14" s="31"/>
      <c r="K14"/>
      <c r="L14"/>
      <c r="M14"/>
      <c r="N14"/>
      <c r="O14"/>
      <c r="P14"/>
      <c r="Q14"/>
      <c r="R14"/>
      <c r="S14"/>
      <c r="T14"/>
      <c r="U14"/>
      <c r="V14"/>
    </row>
    <row r="15" spans="1:22" ht="15.75" thickBot="1" x14ac:dyDescent="0.3">
      <c r="A15" s="25"/>
      <c r="B15" s="17"/>
      <c r="C15" s="350">
        <v>2024</v>
      </c>
      <c r="D15" s="351">
        <v>1000</v>
      </c>
      <c r="E15" s="352">
        <v>1125</v>
      </c>
      <c r="F15" s="351">
        <v>1000</v>
      </c>
      <c r="G15" s="351">
        <v>1000</v>
      </c>
      <c r="H15" s="17"/>
      <c r="I15" s="18"/>
      <c r="J15" s="31"/>
      <c r="K15"/>
      <c r="L15"/>
      <c r="M15"/>
      <c r="N15"/>
      <c r="O15"/>
      <c r="P15"/>
      <c r="Q15"/>
      <c r="R15"/>
      <c r="S15"/>
      <c r="T15"/>
      <c r="U15"/>
      <c r="V15"/>
    </row>
    <row r="16" spans="1:22" ht="15.75" thickBot="1" x14ac:dyDescent="0.3">
      <c r="A16" s="25"/>
      <c r="B16" s="17"/>
      <c r="C16" s="350">
        <v>2025</v>
      </c>
      <c r="D16" s="351">
        <v>1000</v>
      </c>
      <c r="E16" s="352">
        <v>1300</v>
      </c>
      <c r="F16" s="351">
        <v>1000</v>
      </c>
      <c r="G16" s="351">
        <v>1000</v>
      </c>
      <c r="H16" s="17"/>
      <c r="I16" s="18"/>
      <c r="J16" s="31"/>
      <c r="K16"/>
      <c r="L16"/>
      <c r="M16"/>
      <c r="N16"/>
      <c r="O16"/>
      <c r="P16"/>
      <c r="Q16"/>
      <c r="R16"/>
      <c r="S16"/>
      <c r="T16"/>
      <c r="U16"/>
      <c r="V16"/>
    </row>
    <row r="17" spans="1:22" x14ac:dyDescent="0.25">
      <c r="A17" s="25"/>
      <c r="B17" s="17"/>
      <c r="C17" s="17"/>
      <c r="D17" s="17"/>
      <c r="E17" s="17"/>
      <c r="F17" s="17"/>
      <c r="G17" s="17"/>
      <c r="H17" s="17"/>
      <c r="I17" s="18"/>
      <c r="J17" s="31"/>
      <c r="K17"/>
      <c r="L17"/>
      <c r="M17"/>
      <c r="N17"/>
      <c r="O17"/>
      <c r="P17"/>
      <c r="Q17"/>
      <c r="R17"/>
      <c r="S17"/>
      <c r="T17"/>
      <c r="U17"/>
      <c r="V17"/>
    </row>
    <row r="18" spans="1:22" x14ac:dyDescent="0.25">
      <c r="A18" s="25"/>
      <c r="B18" s="17" t="s">
        <v>380</v>
      </c>
      <c r="C18" s="17"/>
      <c r="D18" s="17"/>
      <c r="E18" s="17"/>
      <c r="F18" s="17"/>
      <c r="G18" s="17"/>
      <c r="H18" s="17"/>
      <c r="I18" s="18"/>
      <c r="J18" s="31"/>
      <c r="K18"/>
      <c r="L18"/>
      <c r="M18"/>
      <c r="N18"/>
      <c r="O18"/>
      <c r="P18"/>
      <c r="Q18"/>
      <c r="R18"/>
      <c r="S18"/>
      <c r="T18"/>
      <c r="U18"/>
      <c r="V18"/>
    </row>
    <row r="19" spans="1:22" x14ac:dyDescent="0.25">
      <c r="A19" s="25"/>
      <c r="B19" s="17" t="s">
        <v>379</v>
      </c>
      <c r="C19" s="17"/>
      <c r="D19" s="17"/>
      <c r="E19" s="17"/>
      <c r="F19" s="17"/>
      <c r="G19" s="17"/>
      <c r="H19" s="17"/>
      <c r="I19" s="18"/>
      <c r="J19" s="31"/>
      <c r="K19"/>
      <c r="L19"/>
      <c r="M19"/>
      <c r="N19"/>
      <c r="O19"/>
      <c r="P19"/>
      <c r="Q19"/>
      <c r="R19"/>
      <c r="S19"/>
      <c r="T19"/>
      <c r="U19"/>
      <c r="V19"/>
    </row>
    <row r="20" spans="1:22" x14ac:dyDescent="0.25">
      <c r="A20" s="25"/>
      <c r="B20" s="17"/>
      <c r="C20" s="17"/>
      <c r="D20" s="17"/>
      <c r="E20" s="17"/>
      <c r="F20" s="17"/>
      <c r="G20" s="17"/>
      <c r="H20" s="17"/>
      <c r="I20" s="18"/>
      <c r="J20" s="31"/>
      <c r="K20"/>
      <c r="L20"/>
      <c r="M20"/>
      <c r="N20"/>
      <c r="O20"/>
      <c r="P20"/>
      <c r="Q20"/>
      <c r="R20"/>
      <c r="S20"/>
      <c r="T20"/>
      <c r="U20"/>
      <c r="V20"/>
    </row>
    <row r="21" spans="1:22" x14ac:dyDescent="0.25">
      <c r="A21" s="25" t="s">
        <v>3</v>
      </c>
      <c r="B21" s="17" t="s">
        <v>381</v>
      </c>
      <c r="C21" s="17"/>
      <c r="D21" s="17"/>
      <c r="E21" s="17"/>
      <c r="F21" s="17"/>
      <c r="G21" s="17"/>
      <c r="H21" s="17"/>
      <c r="I21" s="18"/>
      <c r="J21" s="31"/>
      <c r="K21"/>
      <c r="L21"/>
      <c r="M21"/>
      <c r="N21"/>
      <c r="O21"/>
      <c r="P21"/>
      <c r="Q21"/>
      <c r="R21"/>
      <c r="S21"/>
      <c r="T21"/>
      <c r="U21"/>
      <c r="V21"/>
    </row>
    <row r="22" spans="1:22" ht="15.75" thickBot="1" x14ac:dyDescent="0.3">
      <c r="A22" s="9">
        <f>INDEX('Point Grid'!$C$8:$I$54,MATCH($A$1,'Point Grid'!$A$8:$A$54,0),MATCH(A21,'Point Grid'!$C$7:$I$7,0))</f>
        <v>0.5</v>
      </c>
      <c r="B22" s="17" t="s">
        <v>382</v>
      </c>
      <c r="C22" s="17"/>
      <c r="D22" s="17"/>
      <c r="E22" s="17"/>
      <c r="F22" s="17"/>
      <c r="G22" s="17"/>
      <c r="H22" s="17"/>
      <c r="I22" s="18"/>
      <c r="J22" s="31"/>
      <c r="K22"/>
      <c r="L22"/>
      <c r="M22"/>
      <c r="N22"/>
      <c r="O22"/>
      <c r="P22"/>
      <c r="Q22"/>
      <c r="R22"/>
      <c r="S22"/>
      <c r="T22"/>
      <c r="U22"/>
      <c r="V22"/>
    </row>
    <row r="23" spans="1:22" ht="15.75" thickBot="1" x14ac:dyDescent="0.3">
      <c r="A23" s="5"/>
      <c r="B23" s="17"/>
      <c r="C23" s="28"/>
      <c r="D23" s="28"/>
      <c r="E23" s="28"/>
      <c r="F23" s="28"/>
      <c r="G23" s="28"/>
      <c r="H23" s="28"/>
      <c r="I23" s="18"/>
      <c r="J23" s="31"/>
      <c r="K23"/>
      <c r="L23"/>
      <c r="M23"/>
      <c r="N23"/>
      <c r="O23"/>
      <c r="P23"/>
      <c r="Q23"/>
      <c r="R23"/>
      <c r="S23"/>
      <c r="T23"/>
      <c r="U23"/>
      <c r="V23"/>
    </row>
    <row r="24" spans="1:22" x14ac:dyDescent="0.25">
      <c r="A24" s="25"/>
      <c r="B24" s="17"/>
      <c r="C24" s="28"/>
      <c r="D24" s="28"/>
      <c r="E24" s="28"/>
      <c r="F24" s="28"/>
      <c r="G24" s="28"/>
      <c r="H24" s="28"/>
      <c r="I24" s="18"/>
      <c r="J24" s="31"/>
      <c r="K24"/>
      <c r="L24"/>
      <c r="M24"/>
      <c r="N24"/>
      <c r="O24"/>
      <c r="P24"/>
      <c r="Q24"/>
      <c r="R24"/>
      <c r="S24"/>
      <c r="T24"/>
      <c r="U24"/>
      <c r="V24"/>
    </row>
    <row r="25" spans="1:22" x14ac:dyDescent="0.25">
      <c r="A25" s="25" t="s">
        <v>4</v>
      </c>
      <c r="B25" s="17" t="s">
        <v>383</v>
      </c>
      <c r="C25" s="17"/>
      <c r="D25" s="17"/>
      <c r="E25" s="17"/>
      <c r="F25" s="17"/>
      <c r="G25" s="17"/>
      <c r="H25" s="17"/>
      <c r="I25" s="18"/>
      <c r="J25" s="31"/>
      <c r="K25"/>
      <c r="L25"/>
      <c r="M25"/>
      <c r="N25"/>
      <c r="O25"/>
      <c r="P25"/>
      <c r="Q25"/>
      <c r="R25"/>
      <c r="S25"/>
      <c r="T25"/>
      <c r="U25"/>
      <c r="V25"/>
    </row>
    <row r="26" spans="1:22" ht="15.75" thickBot="1" x14ac:dyDescent="0.3">
      <c r="A26" s="9">
        <f>INDEX('Point Grid'!$C$8:$I$54,MATCH($A$1,'Point Grid'!$A$8:$A$54,0),MATCH(A25,'Point Grid'!$C$7:$I$7,0))</f>
        <v>0.5</v>
      </c>
      <c r="B26" s="17"/>
      <c r="C26" s="17"/>
      <c r="D26" s="17"/>
      <c r="E26" s="17"/>
      <c r="F26" s="17"/>
      <c r="G26" s="17"/>
      <c r="H26" s="17"/>
      <c r="I26" s="18"/>
      <c r="J26" s="31"/>
      <c r="K26"/>
      <c r="L26"/>
      <c r="M26"/>
      <c r="N26"/>
      <c r="O26"/>
      <c r="P26"/>
      <c r="Q26"/>
      <c r="R26"/>
      <c r="S26"/>
      <c r="T26"/>
      <c r="U26"/>
      <c r="V26"/>
    </row>
    <row r="27" spans="1:22" ht="15.75" thickBot="1" x14ac:dyDescent="0.3">
      <c r="A27" s="5"/>
      <c r="B27" s="35" t="s">
        <v>193</v>
      </c>
      <c r="C27" s="17" t="s">
        <v>384</v>
      </c>
      <c r="D27" s="17"/>
      <c r="E27" s="17"/>
      <c r="F27" s="17"/>
      <c r="G27" s="17"/>
      <c r="H27" s="17"/>
      <c r="I27" s="18"/>
      <c r="J27" s="31"/>
      <c r="K27"/>
      <c r="L27"/>
      <c r="M27"/>
      <c r="N27"/>
      <c r="O27"/>
      <c r="P27"/>
      <c r="Q27"/>
      <c r="R27"/>
      <c r="S27"/>
      <c r="T27"/>
      <c r="U27"/>
      <c r="V27"/>
    </row>
    <row r="28" spans="1:22" x14ac:dyDescent="0.25">
      <c r="A28" s="22"/>
      <c r="B28" s="35" t="s">
        <v>193</v>
      </c>
      <c r="C28" s="17" t="s">
        <v>385</v>
      </c>
      <c r="D28" s="17"/>
      <c r="E28" s="17"/>
      <c r="F28" s="17"/>
      <c r="G28" s="17"/>
      <c r="H28" s="17"/>
      <c r="I28" s="18"/>
      <c r="J28" s="31"/>
      <c r="K28"/>
      <c r="L28"/>
      <c r="M28"/>
      <c r="N28"/>
      <c r="O28"/>
      <c r="P28"/>
      <c r="Q28"/>
      <c r="R28"/>
      <c r="S28"/>
      <c r="T28"/>
      <c r="U28"/>
      <c r="V28"/>
    </row>
    <row r="29" spans="1:22" x14ac:dyDescent="0.25">
      <c r="A29" s="22"/>
      <c r="B29" s="35"/>
      <c r="C29" s="17" t="s">
        <v>386</v>
      </c>
      <c r="D29" s="17"/>
      <c r="E29" s="17"/>
      <c r="F29" s="17"/>
      <c r="G29" s="17"/>
      <c r="H29" s="17"/>
      <c r="I29" s="18"/>
      <c r="J29" s="31"/>
      <c r="K29"/>
      <c r="L29"/>
      <c r="M29"/>
      <c r="N29"/>
      <c r="O29"/>
      <c r="P29"/>
      <c r="Q29"/>
      <c r="R29"/>
      <c r="S29"/>
      <c r="T29"/>
      <c r="U29"/>
      <c r="V29"/>
    </row>
    <row r="30" spans="1:22" x14ac:dyDescent="0.25">
      <c r="A30" s="22"/>
      <c r="B30" s="35" t="s">
        <v>193</v>
      </c>
      <c r="C30" s="17" t="s">
        <v>387</v>
      </c>
      <c r="D30" s="17"/>
      <c r="E30" s="17"/>
      <c r="F30" s="17"/>
      <c r="G30" s="17"/>
      <c r="H30" s="17"/>
      <c r="I30" s="18"/>
      <c r="J30" s="31"/>
      <c r="K30"/>
      <c r="L30"/>
      <c r="M30"/>
      <c r="N30"/>
      <c r="O30"/>
      <c r="P30"/>
      <c r="Q30"/>
      <c r="R30"/>
      <c r="S30"/>
      <c r="T30"/>
      <c r="U30"/>
      <c r="V30"/>
    </row>
    <row r="31" spans="1:22" x14ac:dyDescent="0.25">
      <c r="A31" s="22"/>
      <c r="B31" s="17"/>
      <c r="C31" s="17"/>
      <c r="D31" s="17"/>
      <c r="E31" s="17"/>
      <c r="F31" s="17"/>
      <c r="G31" s="17"/>
      <c r="H31" s="17"/>
      <c r="I31" s="18"/>
      <c r="J31" s="31"/>
      <c r="K31"/>
      <c r="L31"/>
      <c r="M31"/>
      <c r="N31"/>
      <c r="O31"/>
      <c r="P31"/>
      <c r="Q31"/>
      <c r="R31"/>
      <c r="S31"/>
      <c r="T31"/>
      <c r="U31"/>
      <c r="V31"/>
    </row>
    <row r="32" spans="1:22" x14ac:dyDescent="0.25">
      <c r="A32" s="22"/>
      <c r="B32" s="17" t="s">
        <v>388</v>
      </c>
      <c r="C32" s="17"/>
      <c r="D32" s="17"/>
      <c r="E32" s="17"/>
      <c r="F32" s="17"/>
      <c r="G32" s="17"/>
      <c r="H32" s="17"/>
      <c r="I32" s="18"/>
      <c r="J32" s="31"/>
      <c r="K32"/>
      <c r="L32"/>
      <c r="M32"/>
      <c r="N32"/>
      <c r="O32"/>
      <c r="P32"/>
      <c r="Q32"/>
      <c r="R32"/>
      <c r="S32"/>
      <c r="T32"/>
      <c r="U32"/>
      <c r="V32"/>
    </row>
    <row r="33" spans="1:22" x14ac:dyDescent="0.25">
      <c r="A33" s="22"/>
      <c r="B33" s="17"/>
      <c r="C33" s="17"/>
      <c r="D33" s="17"/>
      <c r="E33" s="17"/>
      <c r="F33" s="17"/>
      <c r="G33" s="17"/>
      <c r="H33" s="17"/>
      <c r="I33" s="18"/>
      <c r="J33" s="31"/>
      <c r="K33"/>
      <c r="L33"/>
      <c r="M33"/>
      <c r="N33"/>
      <c r="O33"/>
      <c r="P33"/>
      <c r="Q33"/>
      <c r="R33"/>
      <c r="S33"/>
      <c r="T33"/>
      <c r="U33"/>
      <c r="V33"/>
    </row>
    <row r="34" spans="1:22" x14ac:dyDescent="0.25">
      <c r="A34" s="22"/>
      <c r="B34" s="35" t="s">
        <v>61</v>
      </c>
      <c r="C34" s="17" t="s">
        <v>389</v>
      </c>
      <c r="D34" s="17"/>
      <c r="E34" s="17"/>
      <c r="F34" s="17"/>
      <c r="G34" s="17"/>
      <c r="H34" s="17"/>
      <c r="I34" s="18"/>
      <c r="J34" s="31"/>
      <c r="K34"/>
      <c r="L34"/>
      <c r="M34"/>
      <c r="N34"/>
      <c r="O34"/>
      <c r="P34"/>
      <c r="Q34"/>
      <c r="R34"/>
      <c r="S34"/>
      <c r="T34"/>
      <c r="U34"/>
      <c r="V34"/>
    </row>
    <row r="35" spans="1:22" x14ac:dyDescent="0.25">
      <c r="A35" s="22"/>
      <c r="B35" s="35" t="s">
        <v>62</v>
      </c>
      <c r="C35" s="17" t="s">
        <v>390</v>
      </c>
      <c r="D35" s="17"/>
      <c r="E35" s="17"/>
      <c r="F35" s="17"/>
      <c r="G35" s="17"/>
      <c r="H35" s="17"/>
      <c r="I35" s="18"/>
      <c r="J35" s="31"/>
      <c r="K35"/>
      <c r="L35"/>
      <c r="M35"/>
      <c r="N35"/>
      <c r="O35"/>
      <c r="P35"/>
      <c r="Q35"/>
      <c r="R35"/>
      <c r="S35"/>
      <c r="T35"/>
      <c r="U35"/>
      <c r="V35"/>
    </row>
    <row r="36" spans="1:22" x14ac:dyDescent="0.25">
      <c r="A36" s="22"/>
      <c r="B36" s="17"/>
      <c r="C36" s="17"/>
      <c r="D36" s="17"/>
      <c r="E36" s="17"/>
      <c r="F36" s="17"/>
      <c r="G36" s="17"/>
      <c r="H36" s="17"/>
      <c r="I36" s="18"/>
      <c r="J36" s="31"/>
      <c r="K36"/>
      <c r="L36"/>
      <c r="M36"/>
      <c r="N36"/>
      <c r="O36"/>
      <c r="P36"/>
      <c r="Q36"/>
      <c r="R36"/>
      <c r="S36"/>
      <c r="T36"/>
      <c r="U36"/>
      <c r="V36"/>
    </row>
    <row r="37" spans="1:22" ht="15" customHeight="1" x14ac:dyDescent="0.25">
      <c r="A37" s="25" t="s">
        <v>5</v>
      </c>
      <c r="B37" s="116" t="s">
        <v>393</v>
      </c>
      <c r="C37" s="116"/>
      <c r="D37" s="303"/>
      <c r="E37" s="222">
        <v>48</v>
      </c>
      <c r="F37" s="166" t="s">
        <v>391</v>
      </c>
      <c r="G37" s="222">
        <v>60</v>
      </c>
      <c r="H37" s="89" t="s">
        <v>394</v>
      </c>
      <c r="I37" s="18"/>
      <c r="J37" s="31"/>
      <c r="K37"/>
      <c r="L37"/>
      <c r="M37"/>
      <c r="N37"/>
      <c r="O37"/>
      <c r="P37"/>
      <c r="Q37"/>
      <c r="R37"/>
      <c r="S37"/>
      <c r="T37"/>
      <c r="U37"/>
      <c r="V37"/>
    </row>
    <row r="38" spans="1:22" ht="15" customHeight="1" thickBot="1" x14ac:dyDescent="0.3">
      <c r="A38" s="9">
        <f>INDEX('Point Grid'!$C$8:$I$54,MATCH($A$1,'Point Grid'!$A$8:$A$54,0),MATCH(A37,'Point Grid'!$C$7:$I$7,0))</f>
        <v>1.5</v>
      </c>
      <c r="B38" s="116"/>
      <c r="C38" s="116"/>
      <c r="D38" s="116"/>
      <c r="E38" s="116"/>
      <c r="F38" s="116"/>
      <c r="G38" s="116"/>
      <c r="H38" s="116"/>
      <c r="I38" s="18"/>
      <c r="J38" s="31"/>
      <c r="K38"/>
      <c r="L38"/>
      <c r="M38"/>
      <c r="N38"/>
      <c r="O38"/>
      <c r="P38"/>
      <c r="Q38"/>
      <c r="R38"/>
      <c r="S38"/>
      <c r="T38"/>
      <c r="U38"/>
      <c r="V38"/>
    </row>
    <row r="39" spans="1:22" ht="15" customHeight="1" thickBot="1" x14ac:dyDescent="0.3">
      <c r="A39" s="5"/>
      <c r="B39" s="116"/>
      <c r="C39" s="116"/>
      <c r="D39" s="116"/>
      <c r="E39" s="116"/>
      <c r="F39" s="116"/>
      <c r="G39" s="116"/>
      <c r="H39" s="116"/>
      <c r="I39" s="18"/>
      <c r="J39" s="31"/>
      <c r="K39"/>
      <c r="L39"/>
      <c r="M39"/>
      <c r="N39"/>
      <c r="O39"/>
      <c r="P39"/>
      <c r="Q39"/>
      <c r="R39"/>
      <c r="S39"/>
      <c r="T39"/>
      <c r="U39"/>
      <c r="V39"/>
    </row>
    <row r="40" spans="1:22" ht="15" customHeight="1" x14ac:dyDescent="0.25">
      <c r="A40" s="22"/>
      <c r="B40" s="116" t="s">
        <v>392</v>
      </c>
      <c r="C40" s="116"/>
      <c r="D40" s="116"/>
      <c r="E40" s="116"/>
      <c r="F40" s="116"/>
      <c r="G40" s="116"/>
      <c r="H40" s="116"/>
      <c r="I40" s="18"/>
      <c r="J40" s="31"/>
      <c r="K40"/>
      <c r="L40"/>
      <c r="M40"/>
      <c r="N40"/>
      <c r="O40"/>
      <c r="P40"/>
      <c r="Q40"/>
      <c r="R40"/>
      <c r="S40"/>
      <c r="T40"/>
      <c r="U40"/>
      <c r="V40"/>
    </row>
    <row r="41" spans="1:22" ht="15" customHeight="1" x14ac:dyDescent="0.25">
      <c r="A41" s="22"/>
      <c r="B41" s="251"/>
      <c r="C41" s="251"/>
      <c r="D41" s="251"/>
      <c r="E41" s="251"/>
      <c r="F41" s="251"/>
      <c r="G41" s="251"/>
      <c r="H41" s="251"/>
      <c r="I41" s="18"/>
      <c r="J41" s="31"/>
      <c r="K41"/>
      <c r="L41"/>
      <c r="M41"/>
      <c r="N41"/>
      <c r="O41"/>
      <c r="P41"/>
      <c r="Q41"/>
      <c r="R41"/>
      <c r="S41"/>
      <c r="T41"/>
      <c r="U41"/>
      <c r="V41"/>
    </row>
    <row r="42" spans="1:22" ht="15" customHeight="1" x14ac:dyDescent="0.25">
      <c r="A42" s="22"/>
      <c r="B42" s="353" t="s">
        <v>315</v>
      </c>
      <c r="C42" s="354" t="s">
        <v>75</v>
      </c>
      <c r="D42" s="355" t="s">
        <v>200</v>
      </c>
      <c r="E42" s="357">
        <v>48</v>
      </c>
      <c r="F42" s="356" t="s">
        <v>130</v>
      </c>
      <c r="G42" s="358">
        <v>4570</v>
      </c>
      <c r="H42" s="65"/>
      <c r="I42" s="18"/>
      <c r="J42" s="31"/>
      <c r="K42"/>
      <c r="L42"/>
      <c r="M42"/>
      <c r="N42"/>
      <c r="O42"/>
      <c r="P42"/>
      <c r="Q42"/>
      <c r="R42"/>
      <c r="S42"/>
      <c r="T42"/>
      <c r="U42"/>
      <c r="V42"/>
    </row>
    <row r="43" spans="1:22" ht="15" customHeight="1" x14ac:dyDescent="0.25">
      <c r="A43" s="22"/>
      <c r="B43" s="116"/>
      <c r="C43" s="116"/>
      <c r="D43" s="116"/>
      <c r="E43" s="116"/>
      <c r="F43" s="116"/>
      <c r="G43" s="116"/>
      <c r="H43" s="116"/>
      <c r="I43" s="18"/>
      <c r="J43" s="31"/>
      <c r="K43"/>
      <c r="L43"/>
      <c r="M43"/>
      <c r="N43"/>
      <c r="O43"/>
      <c r="P43"/>
      <c r="Q43"/>
      <c r="R43"/>
      <c r="S43"/>
      <c r="T43"/>
      <c r="U43"/>
      <c r="V43"/>
    </row>
    <row r="44" spans="1:22" ht="15" customHeight="1" x14ac:dyDescent="0.25">
      <c r="A44" s="22"/>
      <c r="B44" s="243">
        <v>12</v>
      </c>
      <c r="C44" s="314" t="s">
        <v>339</v>
      </c>
      <c r="D44" s="246" t="s">
        <v>344</v>
      </c>
      <c r="E44" s="315">
        <v>2.56</v>
      </c>
      <c r="F44" s="65"/>
      <c r="G44" s="65"/>
      <c r="H44" s="116"/>
      <c r="I44" s="18"/>
      <c r="J44" s="31"/>
      <c r="K44"/>
      <c r="L44"/>
      <c r="M44"/>
      <c r="N44"/>
      <c r="O44"/>
      <c r="P44"/>
      <c r="Q44"/>
      <c r="R44"/>
      <c r="S44"/>
      <c r="T44"/>
      <c r="U44"/>
      <c r="V44"/>
    </row>
    <row r="45" spans="1:22" ht="15" customHeight="1" x14ac:dyDescent="0.25">
      <c r="A45" s="22"/>
      <c r="B45" s="261">
        <v>24</v>
      </c>
      <c r="C45" s="316" t="s">
        <v>339</v>
      </c>
      <c r="D45" s="250" t="s">
        <v>344</v>
      </c>
      <c r="E45" s="317">
        <v>1.34</v>
      </c>
      <c r="F45" s="65"/>
      <c r="G45" s="65"/>
      <c r="H45" s="116"/>
      <c r="I45" s="18"/>
      <c r="J45" s="31"/>
      <c r="K45"/>
      <c r="L45"/>
      <c r="M45"/>
      <c r="N45"/>
      <c r="O45"/>
      <c r="P45"/>
      <c r="Q45"/>
      <c r="R45"/>
      <c r="S45"/>
      <c r="T45"/>
      <c r="U45"/>
      <c r="V45"/>
    </row>
    <row r="46" spans="1:22" ht="15" customHeight="1" x14ac:dyDescent="0.25">
      <c r="A46" s="22"/>
      <c r="B46" s="318">
        <v>36</v>
      </c>
      <c r="C46" s="319" t="s">
        <v>339</v>
      </c>
      <c r="D46" s="320" t="s">
        <v>344</v>
      </c>
      <c r="E46" s="321">
        <v>1.1000000000000001</v>
      </c>
      <c r="F46" s="65"/>
      <c r="G46" s="65"/>
      <c r="H46" s="116"/>
      <c r="I46" s="18"/>
      <c r="J46" s="31"/>
      <c r="K46"/>
      <c r="L46"/>
      <c r="M46"/>
      <c r="N46"/>
      <c r="O46"/>
      <c r="P46"/>
      <c r="Q46"/>
      <c r="R46"/>
      <c r="S46"/>
      <c r="T46"/>
      <c r="U46"/>
      <c r="V46"/>
    </row>
    <row r="47" spans="1:22" ht="15" customHeight="1" x14ac:dyDescent="0.25">
      <c r="A47" s="22"/>
      <c r="B47" s="261">
        <v>48</v>
      </c>
      <c r="C47" s="316" t="s">
        <v>339</v>
      </c>
      <c r="D47" s="250" t="s">
        <v>344</v>
      </c>
      <c r="E47" s="317">
        <v>1.04</v>
      </c>
      <c r="F47" s="65"/>
      <c r="G47" s="65"/>
      <c r="H47" s="116"/>
      <c r="I47" s="18"/>
      <c r="J47" s="31"/>
      <c r="K47"/>
      <c r="L47"/>
      <c r="M47"/>
      <c r="N47"/>
      <c r="O47"/>
      <c r="P47"/>
      <c r="Q47"/>
      <c r="R47"/>
      <c r="S47"/>
      <c r="T47"/>
      <c r="U47"/>
      <c r="V47"/>
    </row>
    <row r="48" spans="1:22" ht="15" customHeight="1" x14ac:dyDescent="0.25">
      <c r="A48" s="22"/>
      <c r="B48" s="261">
        <v>60</v>
      </c>
      <c r="C48" s="316" t="s">
        <v>339</v>
      </c>
      <c r="D48" s="250" t="s">
        <v>344</v>
      </c>
      <c r="E48" s="317">
        <v>1.02</v>
      </c>
      <c r="F48" s="65"/>
      <c r="G48" s="65"/>
      <c r="H48" s="116"/>
      <c r="I48" s="18"/>
      <c r="J48" s="31"/>
      <c r="K48"/>
      <c r="L48"/>
      <c r="M48"/>
      <c r="N48"/>
      <c r="O48"/>
      <c r="P48"/>
      <c r="Q48"/>
      <c r="R48"/>
      <c r="S48"/>
      <c r="T48"/>
      <c r="U48"/>
      <c r="V48"/>
    </row>
    <row r="49" spans="1:22" ht="15" customHeight="1" x14ac:dyDescent="0.25">
      <c r="A49" s="22"/>
      <c r="B49" s="318">
        <v>72</v>
      </c>
      <c r="C49" s="319" t="s">
        <v>339</v>
      </c>
      <c r="D49" s="320" t="s">
        <v>344</v>
      </c>
      <c r="E49" s="321">
        <v>1.01</v>
      </c>
      <c r="F49" s="65"/>
      <c r="G49" s="65"/>
      <c r="H49" s="116"/>
      <c r="I49" s="18"/>
      <c r="J49" s="31"/>
      <c r="K49"/>
      <c r="L49"/>
      <c r="M49"/>
      <c r="N49"/>
      <c r="O49"/>
      <c r="P49"/>
      <c r="Q49"/>
      <c r="R49"/>
      <c r="S49"/>
      <c r="T49"/>
      <c r="U49"/>
      <c r="V49"/>
    </row>
    <row r="50" spans="1:22" ht="15" customHeight="1" x14ac:dyDescent="0.25">
      <c r="A50" s="22"/>
      <c r="B50" s="17"/>
      <c r="C50" s="17"/>
      <c r="D50" s="17"/>
      <c r="E50" s="17"/>
      <c r="F50" s="17"/>
      <c r="G50" s="17"/>
      <c r="H50" s="17"/>
      <c r="I50" s="18"/>
      <c r="J50" s="31"/>
      <c r="K50"/>
      <c r="L50"/>
      <c r="M50"/>
      <c r="N50"/>
      <c r="O50"/>
      <c r="P50"/>
      <c r="Q50"/>
      <c r="R50"/>
      <c r="S50"/>
      <c r="T50"/>
      <c r="U50"/>
      <c r="V50"/>
    </row>
    <row r="51" spans="1:22" ht="15" customHeight="1" x14ac:dyDescent="0.25">
      <c r="A51" s="22"/>
      <c r="B51" s="17"/>
      <c r="C51" s="17"/>
      <c r="D51" s="17"/>
      <c r="E51" s="17"/>
      <c r="F51" s="17"/>
      <c r="G51" s="17"/>
      <c r="H51" s="17"/>
      <c r="I51" s="18"/>
      <c r="J51" s="31"/>
      <c r="K51"/>
      <c r="L51"/>
      <c r="M51"/>
      <c r="N51"/>
      <c r="O51"/>
      <c r="P51"/>
      <c r="Q51"/>
      <c r="R51"/>
      <c r="S51"/>
      <c r="T51"/>
      <c r="U51"/>
      <c r="V51"/>
    </row>
    <row r="52" spans="1:22" ht="15" customHeight="1" x14ac:dyDescent="0.25">
      <c r="A52" s="22"/>
      <c r="B52" s="17"/>
      <c r="C52" s="17"/>
      <c r="D52" s="17"/>
      <c r="E52" s="17"/>
      <c r="F52" s="17"/>
      <c r="G52" s="17"/>
      <c r="H52" s="17"/>
      <c r="I52" s="18"/>
      <c r="J52" s="31"/>
      <c r="K52"/>
      <c r="L52"/>
      <c r="M52"/>
      <c r="N52"/>
      <c r="O52"/>
      <c r="P52"/>
      <c r="Q52"/>
      <c r="R52"/>
      <c r="S52"/>
      <c r="T52"/>
      <c r="U52"/>
      <c r="V52"/>
    </row>
    <row r="53" spans="1:22" ht="15" customHeight="1" thickBot="1" x14ac:dyDescent="0.3">
      <c r="A53" s="24"/>
      <c r="B53" s="32"/>
      <c r="C53" s="32"/>
      <c r="D53" s="32"/>
      <c r="E53" s="32"/>
      <c r="F53" s="32"/>
      <c r="G53" s="32"/>
      <c r="H53" s="32"/>
      <c r="I53" s="33"/>
      <c r="J53" s="31"/>
      <c r="K53"/>
      <c r="L53"/>
      <c r="M53"/>
      <c r="N53"/>
      <c r="O53"/>
      <c r="P53"/>
      <c r="Q53"/>
      <c r="R53"/>
      <c r="S53"/>
      <c r="T53"/>
      <c r="U53"/>
      <c r="V53"/>
    </row>
    <row r="54" spans="1:22" ht="15" customHeight="1" x14ac:dyDescent="0.25">
      <c r="B54" s="31"/>
      <c r="C54" s="31"/>
      <c r="D54" s="31"/>
      <c r="E54" s="31"/>
      <c r="F54" s="31"/>
      <c r="G54" s="31"/>
      <c r="H54" s="31"/>
      <c r="I54" s="31"/>
      <c r="J54" s="31"/>
      <c r="K54"/>
      <c r="L54"/>
      <c r="M54"/>
      <c r="N54"/>
      <c r="O54"/>
      <c r="P54"/>
      <c r="Q54"/>
      <c r="R54"/>
      <c r="S54"/>
      <c r="T54"/>
      <c r="U54"/>
      <c r="V54"/>
    </row>
    <row r="55" spans="1:22" ht="15" customHeight="1" x14ac:dyDescent="0.25">
      <c r="J55" s="31"/>
      <c r="K55"/>
      <c r="L55"/>
      <c r="M55"/>
      <c r="N55"/>
      <c r="O55"/>
      <c r="P55"/>
      <c r="Q55"/>
      <c r="R55"/>
      <c r="S55"/>
      <c r="T55"/>
      <c r="U55"/>
      <c r="V55"/>
    </row>
    <row r="56" spans="1:22" ht="15" customHeight="1" x14ac:dyDescent="0.25">
      <c r="J56" s="31"/>
      <c r="K56"/>
      <c r="L56"/>
      <c r="M56"/>
      <c r="N56"/>
      <c r="O56"/>
      <c r="P56"/>
      <c r="Q56"/>
      <c r="R56"/>
      <c r="S56"/>
      <c r="T56"/>
      <c r="U56"/>
      <c r="V56"/>
    </row>
    <row r="57" spans="1:22" ht="15" customHeight="1" x14ac:dyDescent="0.25">
      <c r="J57" s="31"/>
      <c r="K57"/>
      <c r="L57"/>
      <c r="M57"/>
      <c r="N57"/>
      <c r="O57"/>
      <c r="P57"/>
      <c r="Q57"/>
      <c r="R57"/>
      <c r="S57"/>
      <c r="T57"/>
      <c r="U57"/>
      <c r="V57"/>
    </row>
    <row r="58" spans="1:22" ht="15" customHeight="1" x14ac:dyDescent="0.25">
      <c r="J58" s="31"/>
      <c r="K58"/>
      <c r="L58"/>
      <c r="M58"/>
      <c r="N58"/>
      <c r="O58"/>
      <c r="P58"/>
      <c r="Q58"/>
      <c r="R58"/>
      <c r="S58"/>
      <c r="T58"/>
      <c r="U58"/>
      <c r="V58"/>
    </row>
    <row r="59" spans="1:22" ht="15" customHeight="1" x14ac:dyDescent="0.25">
      <c r="J59" s="31"/>
      <c r="K59"/>
      <c r="L59"/>
      <c r="M59"/>
      <c r="N59"/>
      <c r="O59"/>
      <c r="P59"/>
      <c r="Q59"/>
      <c r="R59"/>
      <c r="S59"/>
      <c r="T59"/>
      <c r="U59"/>
      <c r="V59"/>
    </row>
    <row r="60" spans="1:22" ht="15" customHeight="1" x14ac:dyDescent="0.25">
      <c r="J60" s="31"/>
      <c r="K60"/>
      <c r="L60"/>
      <c r="M60"/>
      <c r="N60"/>
      <c r="O60"/>
      <c r="P60"/>
      <c r="Q60"/>
      <c r="R60"/>
      <c r="S60"/>
      <c r="T60"/>
      <c r="U60"/>
      <c r="V60"/>
    </row>
    <row r="61" spans="1:22" ht="15" customHeight="1" x14ac:dyDescent="0.25">
      <c r="J61" s="31"/>
      <c r="K61"/>
      <c r="L61"/>
      <c r="M61"/>
      <c r="N61"/>
      <c r="O61"/>
      <c r="P61"/>
      <c r="Q61"/>
      <c r="R61"/>
      <c r="S61"/>
      <c r="T61"/>
      <c r="U61"/>
      <c r="V61"/>
    </row>
    <row r="62" spans="1:22" ht="15" customHeight="1" x14ac:dyDescent="0.25">
      <c r="J62" s="31"/>
      <c r="K62"/>
      <c r="L62"/>
      <c r="M62"/>
      <c r="N62"/>
      <c r="O62"/>
      <c r="P62"/>
      <c r="Q62"/>
      <c r="R62"/>
      <c r="S62"/>
      <c r="T62"/>
      <c r="U62"/>
      <c r="V62"/>
    </row>
    <row r="63" spans="1:22" ht="15" customHeight="1" x14ac:dyDescent="0.25">
      <c r="J63" s="31"/>
      <c r="K63"/>
      <c r="L63"/>
      <c r="M63"/>
      <c r="N63"/>
      <c r="O63"/>
      <c r="P63"/>
      <c r="Q63"/>
      <c r="R63"/>
      <c r="S63"/>
      <c r="T63"/>
      <c r="U63"/>
      <c r="V63"/>
    </row>
    <row r="64" spans="1:22" ht="15" customHeight="1" x14ac:dyDescent="0.25">
      <c r="J64" s="31"/>
      <c r="K64"/>
      <c r="L64"/>
      <c r="M64"/>
      <c r="N64"/>
      <c r="O64"/>
      <c r="P64"/>
      <c r="Q64"/>
      <c r="R64"/>
      <c r="S64"/>
      <c r="T64"/>
      <c r="U64"/>
      <c r="V64"/>
    </row>
    <row r="65" spans="10:22" ht="15" customHeight="1" x14ac:dyDescent="0.25">
      <c r="J65" s="31"/>
      <c r="K65"/>
      <c r="L65"/>
      <c r="M65"/>
      <c r="N65"/>
      <c r="O65"/>
      <c r="P65"/>
      <c r="Q65"/>
      <c r="R65"/>
      <c r="S65"/>
      <c r="T65"/>
      <c r="U65"/>
      <c r="V65"/>
    </row>
    <row r="66" spans="10:22" ht="15" customHeight="1" x14ac:dyDescent="0.25">
      <c r="J66" s="31"/>
      <c r="K66"/>
      <c r="L66"/>
      <c r="M66"/>
      <c r="N66"/>
      <c r="O66"/>
      <c r="P66"/>
      <c r="Q66"/>
      <c r="R66"/>
      <c r="S66"/>
      <c r="T66"/>
      <c r="U66"/>
      <c r="V66"/>
    </row>
    <row r="67" spans="10:22" ht="15" customHeight="1" x14ac:dyDescent="0.25">
      <c r="J67" s="31"/>
      <c r="K67"/>
      <c r="L67"/>
      <c r="M67"/>
      <c r="N67"/>
      <c r="O67"/>
      <c r="P67"/>
      <c r="Q67"/>
      <c r="R67"/>
      <c r="S67"/>
      <c r="T67"/>
      <c r="U67"/>
      <c r="V67"/>
    </row>
    <row r="68" spans="10:22" ht="15" customHeight="1" x14ac:dyDescent="0.25">
      <c r="J68" s="31"/>
      <c r="K68"/>
      <c r="L68"/>
      <c r="M68"/>
      <c r="N68"/>
      <c r="O68"/>
      <c r="P68"/>
      <c r="Q68"/>
      <c r="R68"/>
      <c r="S68"/>
      <c r="T68"/>
      <c r="U68"/>
      <c r="V68"/>
    </row>
    <row r="69" spans="10:22" ht="15" customHeight="1" x14ac:dyDescent="0.25">
      <c r="J69" s="31"/>
      <c r="K69"/>
      <c r="L69"/>
      <c r="M69"/>
      <c r="N69"/>
      <c r="O69"/>
      <c r="P69"/>
      <c r="Q69"/>
      <c r="R69"/>
      <c r="S69"/>
      <c r="T69"/>
      <c r="U69"/>
      <c r="V69"/>
    </row>
    <row r="70" spans="10:22" ht="15" customHeight="1" x14ac:dyDescent="0.25">
      <c r="J70" s="31"/>
      <c r="K70"/>
      <c r="L70"/>
      <c r="M70"/>
      <c r="N70"/>
      <c r="O70"/>
      <c r="P70"/>
      <c r="Q70"/>
      <c r="R70"/>
      <c r="S70"/>
      <c r="T70"/>
      <c r="U70"/>
      <c r="V70"/>
    </row>
    <row r="71" spans="10:22" ht="15" customHeight="1" x14ac:dyDescent="0.25">
      <c r="J71" s="31"/>
      <c r="K71"/>
      <c r="L71"/>
      <c r="M71"/>
      <c r="N71"/>
      <c r="O71"/>
      <c r="P71"/>
      <c r="Q71"/>
      <c r="R71"/>
      <c r="S71"/>
      <c r="T71"/>
      <c r="U71"/>
      <c r="V71"/>
    </row>
    <row r="72" spans="10:22" ht="15" customHeight="1" x14ac:dyDescent="0.25">
      <c r="J72" s="31"/>
      <c r="K72"/>
      <c r="L72"/>
      <c r="M72"/>
      <c r="N72"/>
      <c r="O72"/>
      <c r="P72"/>
      <c r="Q72"/>
      <c r="R72"/>
      <c r="S72"/>
      <c r="T72"/>
      <c r="U72"/>
      <c r="V72"/>
    </row>
    <row r="73" spans="10:22" ht="15" customHeight="1" x14ac:dyDescent="0.25">
      <c r="J73" s="31"/>
      <c r="K73"/>
      <c r="L73"/>
      <c r="M73"/>
      <c r="N73"/>
      <c r="O73"/>
      <c r="P73"/>
      <c r="Q73"/>
      <c r="R73"/>
      <c r="S73"/>
      <c r="T73"/>
      <c r="U73"/>
      <c r="V73"/>
    </row>
    <row r="74" spans="10:22" ht="15" customHeight="1" x14ac:dyDescent="0.25">
      <c r="J74" s="31"/>
      <c r="K74"/>
      <c r="L74"/>
      <c r="M74"/>
      <c r="N74"/>
      <c r="O74"/>
      <c r="P74"/>
      <c r="Q74"/>
      <c r="R74"/>
      <c r="S74"/>
      <c r="T74"/>
      <c r="U74"/>
      <c r="V74"/>
    </row>
    <row r="75" spans="10:22" ht="15" customHeight="1" x14ac:dyDescent="0.25">
      <c r="J75" s="31"/>
      <c r="K75"/>
      <c r="L75"/>
      <c r="M75"/>
      <c r="N75"/>
      <c r="O75"/>
      <c r="P75"/>
      <c r="Q75"/>
      <c r="R75"/>
      <c r="S75"/>
      <c r="T75"/>
      <c r="U75"/>
      <c r="V75"/>
    </row>
    <row r="76" spans="10:22" ht="15" customHeight="1" x14ac:dyDescent="0.25">
      <c r="J76" s="31"/>
      <c r="K76"/>
      <c r="L76"/>
      <c r="M76"/>
      <c r="N76"/>
      <c r="O76"/>
      <c r="P76"/>
      <c r="Q76"/>
      <c r="R76"/>
      <c r="S76"/>
      <c r="T76"/>
      <c r="U76"/>
      <c r="V76"/>
    </row>
    <row r="77" spans="10:22" ht="15" customHeight="1" x14ac:dyDescent="0.25">
      <c r="J77" s="31"/>
      <c r="K77"/>
      <c r="L77"/>
      <c r="M77"/>
      <c r="N77"/>
      <c r="O77"/>
      <c r="P77"/>
      <c r="Q77"/>
      <c r="R77"/>
      <c r="S77"/>
      <c r="T77"/>
      <c r="U77"/>
      <c r="V77"/>
    </row>
    <row r="78" spans="10:22" ht="15" customHeight="1" x14ac:dyDescent="0.25">
      <c r="J78" s="31"/>
      <c r="K78"/>
      <c r="L78"/>
      <c r="M78"/>
      <c r="N78"/>
      <c r="O78"/>
      <c r="P78"/>
      <c r="Q78"/>
      <c r="R78"/>
      <c r="S78"/>
      <c r="T78"/>
      <c r="U78"/>
      <c r="V78"/>
    </row>
    <row r="79" spans="10:22" ht="15" customHeight="1" x14ac:dyDescent="0.25">
      <c r="J79" s="31"/>
      <c r="K79"/>
      <c r="L79"/>
      <c r="M79"/>
      <c r="N79"/>
      <c r="O79"/>
      <c r="P79"/>
      <c r="Q79"/>
      <c r="R79"/>
      <c r="S79"/>
      <c r="T79"/>
      <c r="U79"/>
      <c r="V79"/>
    </row>
    <row r="80" spans="10:22" ht="15" customHeight="1" x14ac:dyDescent="0.25">
      <c r="J80" s="31"/>
      <c r="K80"/>
      <c r="L80"/>
      <c r="M80"/>
      <c r="N80"/>
      <c r="O80"/>
      <c r="P80"/>
      <c r="Q80"/>
      <c r="R80"/>
      <c r="S80"/>
      <c r="T80"/>
      <c r="U80"/>
      <c r="V80"/>
    </row>
    <row r="81" spans="2:22" ht="15" customHeight="1" x14ac:dyDescent="0.25">
      <c r="J81" s="31"/>
      <c r="K81"/>
      <c r="L81"/>
      <c r="M81"/>
      <c r="N81"/>
      <c r="O81"/>
      <c r="P81"/>
      <c r="Q81"/>
      <c r="R81"/>
      <c r="S81"/>
      <c r="T81"/>
      <c r="U81"/>
      <c r="V81"/>
    </row>
    <row r="82" spans="2:22" ht="15" customHeight="1" x14ac:dyDescent="0.25">
      <c r="J82" s="31"/>
      <c r="K82"/>
      <c r="L82"/>
      <c r="M82"/>
      <c r="N82"/>
      <c r="O82"/>
      <c r="P82"/>
      <c r="Q82"/>
      <c r="R82"/>
      <c r="S82"/>
      <c r="T82"/>
      <c r="U82"/>
      <c r="V82"/>
    </row>
    <row r="83" spans="2:22" ht="15" customHeight="1" x14ac:dyDescent="0.25">
      <c r="J83" s="31"/>
      <c r="K83"/>
      <c r="L83"/>
      <c r="M83"/>
      <c r="N83"/>
      <c r="O83"/>
      <c r="P83"/>
      <c r="Q83"/>
      <c r="R83"/>
      <c r="S83"/>
      <c r="T83"/>
      <c r="U83"/>
      <c r="V83"/>
    </row>
    <row r="84" spans="2:22" ht="15" customHeight="1" x14ac:dyDescent="0.25">
      <c r="J84" s="31"/>
      <c r="K84"/>
      <c r="L84"/>
      <c r="M84"/>
      <c r="N84"/>
      <c r="O84"/>
      <c r="P84"/>
      <c r="Q84"/>
      <c r="R84"/>
      <c r="S84"/>
      <c r="T84"/>
      <c r="U84"/>
      <c r="V84"/>
    </row>
    <row r="85" spans="2:22" ht="15" customHeight="1" x14ac:dyDescent="0.25">
      <c r="B85" s="31"/>
      <c r="C85" s="31"/>
      <c r="D85" s="31"/>
      <c r="E85" s="31"/>
      <c r="F85" s="31"/>
      <c r="G85" s="31"/>
      <c r="H85" s="31"/>
      <c r="I85" s="31"/>
      <c r="J85" s="31"/>
      <c r="K85"/>
      <c r="L85"/>
      <c r="M85"/>
      <c r="N85"/>
      <c r="O85"/>
      <c r="P85"/>
      <c r="Q85"/>
      <c r="R85"/>
      <c r="S85"/>
      <c r="T85"/>
      <c r="U85"/>
      <c r="V85"/>
    </row>
    <row r="86" spans="2:22" ht="15" customHeight="1" x14ac:dyDescent="0.25">
      <c r="B86" s="31"/>
      <c r="C86" s="31"/>
      <c r="D86" s="31"/>
      <c r="E86" s="31"/>
      <c r="F86" s="31"/>
      <c r="G86" s="31"/>
      <c r="H86" s="31"/>
      <c r="I86" s="31"/>
      <c r="J86" s="31"/>
      <c r="K86"/>
      <c r="L86"/>
      <c r="M86"/>
      <c r="N86"/>
      <c r="O86"/>
      <c r="P86"/>
      <c r="Q86"/>
      <c r="R86"/>
      <c r="S86"/>
      <c r="T86"/>
      <c r="U86"/>
      <c r="V86"/>
    </row>
    <row r="87" spans="2:22" ht="15" customHeight="1" x14ac:dyDescent="0.25">
      <c r="B87" s="31"/>
      <c r="C87" s="31"/>
      <c r="D87" s="31"/>
      <c r="E87" s="31"/>
      <c r="F87" s="31"/>
      <c r="G87" s="31"/>
      <c r="H87" s="31"/>
      <c r="I87" s="31"/>
      <c r="J87" s="31"/>
      <c r="K87"/>
      <c r="L87"/>
      <c r="M87"/>
      <c r="N87"/>
      <c r="O87"/>
      <c r="P87"/>
      <c r="Q87"/>
      <c r="R87"/>
      <c r="S87"/>
      <c r="T87"/>
      <c r="U87"/>
      <c r="V87"/>
    </row>
    <row r="88" spans="2:22" ht="15" customHeight="1" x14ac:dyDescent="0.25">
      <c r="B88" s="31"/>
      <c r="C88" s="31"/>
      <c r="D88" s="31"/>
      <c r="E88" s="31"/>
      <c r="F88" s="31"/>
      <c r="G88" s="31"/>
      <c r="H88" s="31"/>
      <c r="I88" s="31"/>
      <c r="J88" s="31"/>
      <c r="K88"/>
      <c r="L88"/>
      <c r="M88"/>
      <c r="N88"/>
      <c r="O88"/>
      <c r="P88"/>
      <c r="Q88"/>
      <c r="R88"/>
      <c r="S88"/>
      <c r="T88"/>
      <c r="U88"/>
      <c r="V88"/>
    </row>
    <row r="89" spans="2:22" ht="15" customHeight="1" x14ac:dyDescent="0.25">
      <c r="B89" s="31"/>
      <c r="C89" s="31"/>
      <c r="D89" s="31"/>
      <c r="E89" s="31"/>
      <c r="F89" s="31"/>
      <c r="G89" s="31"/>
      <c r="H89" s="31"/>
      <c r="I89" s="31"/>
      <c r="J89" s="31"/>
      <c r="K89"/>
      <c r="L89"/>
      <c r="M89"/>
      <c r="N89"/>
      <c r="O89"/>
      <c r="P89"/>
      <c r="Q89"/>
      <c r="R89"/>
      <c r="S89"/>
      <c r="T89"/>
      <c r="U89"/>
      <c r="V89"/>
    </row>
    <row r="90" spans="2:22" ht="15" customHeight="1" x14ac:dyDescent="0.25">
      <c r="B90" s="31"/>
      <c r="C90" s="31"/>
      <c r="D90" s="31"/>
      <c r="E90" s="31"/>
      <c r="F90" s="31"/>
      <c r="G90" s="31"/>
      <c r="H90" s="31"/>
      <c r="I90" s="31"/>
      <c r="J90" s="31"/>
      <c r="K90"/>
      <c r="L90"/>
      <c r="M90"/>
      <c r="N90"/>
      <c r="O90"/>
      <c r="P90"/>
      <c r="Q90"/>
      <c r="R90"/>
      <c r="S90"/>
      <c r="T90"/>
      <c r="U90"/>
      <c r="V90"/>
    </row>
    <row r="91" spans="2:22" ht="15" customHeight="1" x14ac:dyDescent="0.25">
      <c r="B91" s="31"/>
      <c r="C91" s="31"/>
      <c r="D91" s="31"/>
      <c r="E91" s="31"/>
      <c r="F91" s="31"/>
      <c r="G91" s="31"/>
      <c r="H91" s="31"/>
      <c r="I91" s="31"/>
      <c r="J91" s="31"/>
      <c r="K91"/>
      <c r="L91"/>
      <c r="M91"/>
      <c r="N91"/>
      <c r="O91"/>
      <c r="P91"/>
      <c r="Q91"/>
      <c r="R91"/>
      <c r="S91"/>
      <c r="T91"/>
      <c r="U91"/>
      <c r="V91"/>
    </row>
    <row r="92" spans="2:22" ht="15" customHeight="1" x14ac:dyDescent="0.25">
      <c r="B92" s="31"/>
      <c r="C92" s="31"/>
      <c r="D92" s="31"/>
      <c r="E92" s="31"/>
      <c r="F92" s="31"/>
      <c r="G92" s="31"/>
      <c r="H92" s="31"/>
      <c r="I92" s="31"/>
      <c r="J92" s="31"/>
      <c r="K92"/>
      <c r="L92"/>
      <c r="M92"/>
      <c r="N92"/>
      <c r="O92"/>
      <c r="P92"/>
      <c r="Q92"/>
      <c r="R92"/>
      <c r="S92"/>
      <c r="T92"/>
      <c r="U92"/>
      <c r="V92"/>
    </row>
    <row r="93" spans="2:22" ht="15" customHeight="1" x14ac:dyDescent="0.25">
      <c r="B93" s="31"/>
      <c r="C93" s="31"/>
      <c r="D93" s="31"/>
      <c r="E93" s="31"/>
      <c r="F93" s="31"/>
      <c r="G93" s="31"/>
      <c r="H93" s="31"/>
      <c r="I93" s="31"/>
      <c r="J93" s="31"/>
      <c r="K93"/>
      <c r="L93"/>
      <c r="M93"/>
      <c r="N93"/>
      <c r="O93"/>
      <c r="P93"/>
      <c r="Q93"/>
      <c r="R93"/>
      <c r="S93"/>
      <c r="T93"/>
      <c r="U93"/>
      <c r="V93"/>
    </row>
    <row r="94" spans="2:22" ht="15" customHeight="1" x14ac:dyDescent="0.25">
      <c r="B94" s="31"/>
      <c r="C94" s="31"/>
      <c r="D94" s="31"/>
      <c r="E94" s="31"/>
      <c r="F94" s="31"/>
      <c r="G94" s="31"/>
      <c r="H94" s="31"/>
      <c r="I94" s="31"/>
      <c r="J94" s="31"/>
      <c r="K94"/>
      <c r="L94"/>
      <c r="M94"/>
      <c r="N94"/>
      <c r="O94"/>
      <c r="P94"/>
      <c r="Q94"/>
      <c r="R94"/>
      <c r="S94"/>
      <c r="T94"/>
      <c r="U94"/>
      <c r="V94"/>
    </row>
    <row r="95" spans="2:22" ht="15" customHeight="1" x14ac:dyDescent="0.25">
      <c r="B95" s="31"/>
      <c r="C95" s="31"/>
      <c r="D95" s="31"/>
      <c r="E95" s="31"/>
      <c r="F95" s="31"/>
      <c r="G95" s="31"/>
      <c r="H95" s="31"/>
      <c r="I95" s="31"/>
      <c r="J95" s="31"/>
      <c r="K95"/>
      <c r="L95"/>
      <c r="M95"/>
      <c r="N95"/>
      <c r="O95"/>
      <c r="P95"/>
      <c r="Q95"/>
      <c r="R95"/>
      <c r="S95"/>
      <c r="T95"/>
      <c r="U95"/>
      <c r="V95"/>
    </row>
    <row r="96" spans="2:22" ht="15" customHeight="1" x14ac:dyDescent="0.25">
      <c r="B96" s="31"/>
      <c r="C96" s="31"/>
      <c r="D96" s="31"/>
      <c r="E96" s="31"/>
      <c r="F96" s="31"/>
      <c r="G96" s="31"/>
      <c r="H96" s="31"/>
      <c r="I96" s="31"/>
      <c r="J96" s="31"/>
      <c r="K96"/>
      <c r="L96"/>
      <c r="M96"/>
      <c r="N96"/>
      <c r="O96"/>
      <c r="P96"/>
      <c r="Q96"/>
      <c r="R96"/>
      <c r="S96"/>
      <c r="T96"/>
      <c r="U96"/>
      <c r="V96"/>
    </row>
    <row r="97" spans="2:22" ht="15" customHeight="1" x14ac:dyDescent="0.25">
      <c r="B97" s="31"/>
      <c r="C97" s="31"/>
      <c r="D97" s="31"/>
      <c r="E97" s="31"/>
      <c r="F97" s="31"/>
      <c r="G97" s="31"/>
      <c r="H97" s="31"/>
      <c r="I97" s="31"/>
      <c r="J97" s="31"/>
      <c r="K97"/>
      <c r="L97"/>
      <c r="M97"/>
      <c r="N97"/>
      <c r="O97"/>
      <c r="P97"/>
      <c r="Q97"/>
      <c r="R97"/>
      <c r="S97"/>
      <c r="T97"/>
      <c r="U97"/>
      <c r="V97"/>
    </row>
    <row r="98" spans="2:22" ht="15" customHeight="1" x14ac:dyDescent="0.25">
      <c r="B98" s="31"/>
      <c r="C98" s="31"/>
      <c r="D98" s="31"/>
      <c r="E98" s="31"/>
      <c r="F98" s="31"/>
      <c r="G98" s="31"/>
      <c r="H98" s="31"/>
      <c r="I98" s="31"/>
      <c r="J98" s="31"/>
      <c r="K98"/>
      <c r="L98"/>
      <c r="M98"/>
      <c r="N98"/>
      <c r="O98"/>
      <c r="P98"/>
      <c r="Q98"/>
      <c r="R98"/>
      <c r="S98"/>
      <c r="T98"/>
      <c r="U98"/>
      <c r="V98"/>
    </row>
    <row r="99" spans="2:22" ht="15" customHeight="1" x14ac:dyDescent="0.25">
      <c r="B99" s="31"/>
      <c r="C99" s="31"/>
      <c r="D99" s="31"/>
      <c r="E99" s="31"/>
      <c r="F99" s="31"/>
      <c r="G99" s="31"/>
      <c r="H99" s="31"/>
      <c r="I99" s="31"/>
      <c r="J99" s="31"/>
      <c r="K99"/>
      <c r="L99"/>
      <c r="M99"/>
      <c r="N99"/>
      <c r="O99"/>
      <c r="P99"/>
      <c r="Q99"/>
      <c r="R99"/>
      <c r="S99"/>
      <c r="T99"/>
      <c r="U99"/>
      <c r="V99"/>
    </row>
    <row r="100" spans="2:22" ht="15" customHeight="1" x14ac:dyDescent="0.25">
      <c r="B100" s="31"/>
      <c r="C100" s="31"/>
      <c r="D100" s="31"/>
      <c r="E100" s="31"/>
      <c r="F100" s="31"/>
      <c r="G100" s="31"/>
      <c r="H100" s="31"/>
      <c r="I100" s="31"/>
      <c r="J100" s="31"/>
      <c r="K100"/>
      <c r="L100"/>
      <c r="M100"/>
      <c r="N100"/>
      <c r="O100"/>
      <c r="P100"/>
      <c r="Q100"/>
      <c r="R100"/>
      <c r="S100"/>
      <c r="T100"/>
      <c r="U100"/>
      <c r="V100"/>
    </row>
    <row r="101" spans="2:22" ht="15" customHeight="1" x14ac:dyDescent="0.25">
      <c r="B101" s="31"/>
      <c r="C101" s="31"/>
      <c r="D101" s="31"/>
      <c r="E101" s="31"/>
      <c r="F101" s="31"/>
      <c r="G101" s="31"/>
      <c r="H101" s="31"/>
      <c r="I101" s="31"/>
      <c r="J101" s="31"/>
      <c r="K101"/>
      <c r="L101"/>
      <c r="M101"/>
      <c r="N101"/>
      <c r="O101"/>
      <c r="P101"/>
      <c r="Q101"/>
      <c r="R101"/>
      <c r="S101"/>
      <c r="T101"/>
      <c r="U101"/>
      <c r="V101"/>
    </row>
    <row r="102" spans="2:22" ht="15" customHeight="1" x14ac:dyDescent="0.25">
      <c r="B102" s="31"/>
      <c r="C102" s="31"/>
      <c r="D102" s="31"/>
      <c r="E102" s="31"/>
      <c r="F102" s="31"/>
      <c r="G102" s="31"/>
      <c r="H102" s="31"/>
      <c r="I102" s="31"/>
      <c r="J102" s="31"/>
      <c r="K102"/>
      <c r="L102"/>
      <c r="M102"/>
      <c r="N102"/>
      <c r="O102"/>
      <c r="P102"/>
      <c r="Q102"/>
      <c r="R102"/>
      <c r="S102"/>
      <c r="T102"/>
      <c r="U102"/>
      <c r="V102"/>
    </row>
    <row r="103" spans="2:22" ht="15" customHeight="1" x14ac:dyDescent="0.25">
      <c r="B103" s="31"/>
      <c r="C103" s="31"/>
      <c r="D103" s="31"/>
      <c r="E103" s="31"/>
      <c r="F103" s="31"/>
      <c r="G103" s="31"/>
      <c r="H103" s="31"/>
      <c r="I103" s="31"/>
      <c r="J103" s="31"/>
      <c r="K103"/>
      <c r="L103"/>
      <c r="M103"/>
      <c r="N103"/>
      <c r="O103"/>
      <c r="P103"/>
      <c r="Q103"/>
      <c r="R103"/>
      <c r="S103"/>
      <c r="T103"/>
      <c r="U103"/>
      <c r="V103"/>
    </row>
    <row r="104" spans="2:22" ht="15" customHeight="1" x14ac:dyDescent="0.25">
      <c r="B104" s="31"/>
      <c r="C104" s="31"/>
      <c r="D104" s="31"/>
      <c r="E104" s="31"/>
      <c r="F104" s="31"/>
      <c r="G104" s="31"/>
      <c r="H104" s="31"/>
      <c r="I104" s="31"/>
      <c r="J104" s="31"/>
      <c r="K104"/>
      <c r="L104"/>
      <c r="M104"/>
      <c r="N104"/>
      <c r="O104"/>
      <c r="P104"/>
      <c r="Q104"/>
      <c r="R104"/>
      <c r="S104"/>
      <c r="T104"/>
      <c r="U104"/>
      <c r="V104"/>
    </row>
    <row r="105" spans="2:22" ht="15" customHeight="1" x14ac:dyDescent="0.25">
      <c r="B105" s="31"/>
      <c r="C105" s="31"/>
      <c r="D105" s="31"/>
      <c r="E105" s="31"/>
      <c r="F105" s="31"/>
      <c r="G105" s="31"/>
      <c r="H105" s="31"/>
      <c r="I105" s="31"/>
      <c r="J105" s="31"/>
      <c r="K105"/>
      <c r="L105"/>
      <c r="M105"/>
      <c r="N105"/>
      <c r="O105"/>
      <c r="P105"/>
      <c r="Q105"/>
      <c r="R105"/>
      <c r="S105"/>
      <c r="T105"/>
      <c r="U105"/>
      <c r="V105"/>
    </row>
    <row r="106" spans="2:22" ht="15" customHeight="1" x14ac:dyDescent="0.25">
      <c r="B106" s="31"/>
      <c r="C106" s="31"/>
      <c r="D106" s="31"/>
      <c r="E106" s="31"/>
      <c r="F106" s="31"/>
      <c r="G106" s="31"/>
      <c r="H106" s="31"/>
      <c r="I106" s="31"/>
      <c r="J106" s="31"/>
      <c r="K106"/>
      <c r="L106"/>
      <c r="M106"/>
      <c r="N106"/>
      <c r="O106"/>
      <c r="P106"/>
      <c r="Q106"/>
      <c r="R106"/>
      <c r="S106"/>
      <c r="T106"/>
      <c r="U106"/>
      <c r="V106"/>
    </row>
    <row r="107" spans="2:22" ht="15" customHeight="1" x14ac:dyDescent="0.25">
      <c r="B107" s="31"/>
      <c r="C107" s="31"/>
      <c r="D107" s="31"/>
      <c r="E107" s="31"/>
      <c r="F107" s="31"/>
      <c r="G107" s="31"/>
      <c r="H107" s="31"/>
      <c r="I107" s="31"/>
      <c r="J107" s="31"/>
      <c r="K107"/>
      <c r="L107"/>
      <c r="M107"/>
      <c r="N107"/>
      <c r="O107"/>
      <c r="P107"/>
      <c r="Q107"/>
      <c r="R107"/>
      <c r="S107"/>
      <c r="T107"/>
      <c r="U107"/>
      <c r="V107"/>
    </row>
    <row r="108" spans="2:22" ht="15" customHeight="1" x14ac:dyDescent="0.25">
      <c r="B108" s="31"/>
      <c r="C108" s="31"/>
      <c r="D108" s="31"/>
      <c r="E108" s="31"/>
      <c r="F108" s="31"/>
      <c r="G108" s="31"/>
      <c r="H108" s="31"/>
      <c r="I108" s="31"/>
      <c r="J108" s="31"/>
      <c r="K108"/>
      <c r="L108"/>
      <c r="M108"/>
      <c r="N108"/>
      <c r="O108"/>
      <c r="P108"/>
      <c r="Q108"/>
      <c r="R108"/>
      <c r="S108"/>
      <c r="T108"/>
      <c r="U108"/>
      <c r="V108"/>
    </row>
    <row r="109" spans="2:22" ht="15" customHeight="1" x14ac:dyDescent="0.25">
      <c r="B109" s="31"/>
      <c r="C109" s="31"/>
      <c r="D109" s="31"/>
      <c r="E109" s="31"/>
      <c r="F109" s="31"/>
      <c r="G109" s="31"/>
      <c r="H109" s="31"/>
      <c r="I109" s="31"/>
      <c r="J109" s="31"/>
      <c r="K109"/>
      <c r="L109"/>
      <c r="M109"/>
      <c r="N109"/>
      <c r="O109"/>
      <c r="P109"/>
      <c r="Q109"/>
      <c r="R109"/>
      <c r="S109"/>
      <c r="T109"/>
      <c r="U109"/>
      <c r="V109"/>
    </row>
    <row r="110" spans="2:22" ht="15" customHeight="1" x14ac:dyDescent="0.25">
      <c r="B110" s="31"/>
      <c r="C110" s="31"/>
      <c r="D110" s="31"/>
      <c r="E110" s="31"/>
      <c r="F110" s="31"/>
      <c r="G110" s="31"/>
      <c r="H110" s="31"/>
      <c r="I110" s="31"/>
      <c r="J110" s="31"/>
      <c r="K110"/>
      <c r="L110"/>
      <c r="M110"/>
      <c r="N110"/>
      <c r="O110"/>
      <c r="P110"/>
      <c r="Q110"/>
      <c r="R110"/>
      <c r="S110"/>
      <c r="T110"/>
      <c r="U110"/>
      <c r="V110"/>
    </row>
    <row r="111" spans="2:22" ht="15" customHeight="1" x14ac:dyDescent="0.25">
      <c r="B111" s="31"/>
      <c r="C111" s="31"/>
      <c r="D111" s="31"/>
      <c r="E111" s="31"/>
      <c r="F111" s="31"/>
      <c r="G111" s="31"/>
      <c r="H111" s="31"/>
      <c r="I111" s="31"/>
      <c r="J111" s="31"/>
      <c r="K111"/>
      <c r="L111"/>
      <c r="M111"/>
      <c r="N111"/>
      <c r="O111"/>
      <c r="P111"/>
      <c r="Q111"/>
      <c r="R111"/>
      <c r="S111"/>
      <c r="T111"/>
      <c r="U111"/>
      <c r="V111"/>
    </row>
    <row r="112" spans="2:22" ht="15" customHeight="1" x14ac:dyDescent="0.25">
      <c r="B112" s="31"/>
      <c r="C112" s="31"/>
      <c r="D112" s="31"/>
      <c r="E112" s="31"/>
      <c r="F112" s="31"/>
      <c r="G112" s="31"/>
      <c r="H112" s="31"/>
      <c r="I112" s="31"/>
      <c r="J112" s="31"/>
      <c r="K112"/>
      <c r="L112"/>
      <c r="M112"/>
      <c r="N112"/>
      <c r="O112"/>
      <c r="P112"/>
      <c r="Q112"/>
      <c r="R112"/>
      <c r="S112"/>
      <c r="T112"/>
      <c r="U112"/>
      <c r="V112"/>
    </row>
    <row r="113" spans="2:22" ht="15" customHeight="1" x14ac:dyDescent="0.25">
      <c r="B113" s="31"/>
      <c r="C113" s="31"/>
      <c r="D113" s="31"/>
      <c r="E113" s="31"/>
      <c r="F113" s="31"/>
      <c r="G113" s="31"/>
      <c r="H113" s="31"/>
      <c r="I113" s="31"/>
      <c r="J113" s="31"/>
      <c r="K113"/>
      <c r="L113"/>
      <c r="M113"/>
      <c r="N113"/>
      <c r="O113"/>
      <c r="P113"/>
      <c r="Q113"/>
      <c r="R113"/>
      <c r="S113"/>
      <c r="T113"/>
      <c r="U113"/>
      <c r="V113"/>
    </row>
    <row r="114" spans="2:22" ht="15" customHeight="1" x14ac:dyDescent="0.25">
      <c r="B114" s="31"/>
      <c r="C114" s="31"/>
      <c r="D114" s="31"/>
      <c r="E114" s="31"/>
      <c r="F114" s="31"/>
      <c r="G114" s="31"/>
      <c r="H114" s="31"/>
      <c r="I114" s="31"/>
      <c r="J114" s="31"/>
      <c r="K114"/>
      <c r="L114"/>
      <c r="M114"/>
      <c r="N114"/>
      <c r="O114"/>
      <c r="P114"/>
      <c r="Q114"/>
      <c r="R114"/>
      <c r="S114"/>
      <c r="T114"/>
      <c r="U114"/>
      <c r="V114"/>
    </row>
    <row r="115" spans="2:22" ht="15" customHeight="1" x14ac:dyDescent="0.25">
      <c r="B115" s="31"/>
      <c r="C115" s="31"/>
      <c r="D115" s="31"/>
      <c r="E115" s="31"/>
      <c r="F115" s="31"/>
      <c r="G115" s="31"/>
      <c r="H115" s="31"/>
      <c r="I115" s="31"/>
      <c r="J115" s="31"/>
      <c r="K115"/>
      <c r="L115"/>
      <c r="M115"/>
      <c r="N115"/>
      <c r="O115"/>
      <c r="P115"/>
      <c r="Q115"/>
      <c r="R115"/>
      <c r="S115"/>
      <c r="T115"/>
      <c r="U115"/>
      <c r="V115"/>
    </row>
    <row r="116" spans="2:22" ht="15" customHeight="1" x14ac:dyDescent="0.25">
      <c r="B116" s="31"/>
      <c r="C116" s="31"/>
      <c r="D116" s="31"/>
      <c r="E116" s="31"/>
      <c r="F116" s="31"/>
      <c r="G116" s="31"/>
      <c r="H116" s="31"/>
      <c r="I116" s="31"/>
      <c r="J116" s="31"/>
      <c r="K116"/>
      <c r="L116"/>
      <c r="M116"/>
      <c r="N116"/>
      <c r="O116"/>
      <c r="P116"/>
      <c r="Q116"/>
      <c r="R116"/>
      <c r="S116"/>
      <c r="T116"/>
      <c r="U116"/>
      <c r="V116"/>
    </row>
    <row r="117" spans="2:22" ht="15" customHeight="1" x14ac:dyDescent="0.25">
      <c r="B117" s="31"/>
      <c r="C117" s="31"/>
      <c r="D117" s="31"/>
      <c r="E117" s="31"/>
      <c r="F117" s="31"/>
      <c r="G117" s="31"/>
      <c r="H117" s="31"/>
      <c r="I117" s="31"/>
      <c r="J117" s="31"/>
      <c r="K117"/>
      <c r="L117"/>
      <c r="M117"/>
      <c r="N117"/>
      <c r="O117"/>
      <c r="P117"/>
      <c r="Q117"/>
      <c r="R117"/>
      <c r="S117"/>
      <c r="T117"/>
      <c r="U117"/>
      <c r="V117"/>
    </row>
    <row r="118" spans="2:22" ht="15" customHeight="1" x14ac:dyDescent="0.25">
      <c r="B118" s="31"/>
      <c r="C118" s="31"/>
      <c r="D118" s="31"/>
      <c r="E118" s="31"/>
      <c r="F118" s="31"/>
      <c r="G118" s="31"/>
      <c r="H118" s="31"/>
      <c r="I118" s="31"/>
      <c r="J118" s="31"/>
      <c r="K118"/>
      <c r="L118"/>
      <c r="M118"/>
      <c r="N118"/>
      <c r="O118"/>
      <c r="P118"/>
      <c r="Q118"/>
      <c r="R118"/>
      <c r="S118"/>
      <c r="T118"/>
      <c r="U118"/>
      <c r="V118"/>
    </row>
    <row r="119" spans="2:22" ht="15" customHeight="1" x14ac:dyDescent="0.25">
      <c r="B119" s="31"/>
      <c r="C119" s="31"/>
      <c r="D119" s="31"/>
      <c r="E119" s="31"/>
      <c r="F119" s="31"/>
      <c r="G119" s="31"/>
      <c r="H119" s="31"/>
      <c r="I119" s="31"/>
      <c r="J119" s="31"/>
      <c r="K119"/>
      <c r="L119"/>
      <c r="M119"/>
      <c r="N119"/>
      <c r="O119"/>
      <c r="P119"/>
      <c r="Q119"/>
      <c r="R119"/>
      <c r="S119"/>
      <c r="T119"/>
      <c r="U119"/>
      <c r="V119"/>
    </row>
    <row r="120" spans="2:22" ht="15" customHeight="1" x14ac:dyDescent="0.25">
      <c r="B120" s="31"/>
      <c r="C120" s="31"/>
      <c r="D120" s="31"/>
      <c r="E120" s="31"/>
      <c r="F120" s="31"/>
      <c r="G120" s="31"/>
      <c r="H120" s="31"/>
      <c r="I120" s="31"/>
      <c r="J120" s="31"/>
      <c r="K120"/>
      <c r="L120"/>
      <c r="M120"/>
      <c r="N120"/>
      <c r="O120"/>
      <c r="P120"/>
      <c r="Q120"/>
      <c r="R120"/>
      <c r="S120"/>
      <c r="T120"/>
      <c r="U120"/>
      <c r="V120"/>
    </row>
    <row r="121" spans="2:22" ht="15" customHeight="1" x14ac:dyDescent="0.25">
      <c r="B121" s="31"/>
      <c r="C121" s="31"/>
      <c r="D121" s="31"/>
      <c r="E121" s="31"/>
      <c r="F121" s="31"/>
      <c r="G121" s="31"/>
      <c r="H121" s="31"/>
      <c r="I121" s="31"/>
      <c r="J121" s="31"/>
      <c r="K121"/>
      <c r="L121"/>
      <c r="M121"/>
      <c r="N121"/>
      <c r="O121"/>
      <c r="P121"/>
      <c r="Q121"/>
      <c r="R121"/>
      <c r="S121"/>
      <c r="T121"/>
      <c r="U121"/>
      <c r="V121"/>
    </row>
    <row r="122" spans="2:22" ht="15" customHeight="1" x14ac:dyDescent="0.25">
      <c r="B122" s="31"/>
      <c r="C122" s="31"/>
      <c r="D122" s="31"/>
      <c r="E122" s="31"/>
      <c r="F122" s="31"/>
      <c r="G122" s="31"/>
      <c r="H122" s="31"/>
      <c r="I122" s="31"/>
      <c r="J122" s="31"/>
      <c r="K122"/>
      <c r="L122"/>
      <c r="M122"/>
      <c r="N122"/>
      <c r="O122"/>
      <c r="P122"/>
      <c r="Q122"/>
      <c r="R122"/>
      <c r="S122"/>
      <c r="T122"/>
      <c r="U122"/>
      <c r="V122"/>
    </row>
    <row r="123" spans="2:22" ht="15" customHeight="1" x14ac:dyDescent="0.25">
      <c r="B123" s="31"/>
      <c r="C123" s="31"/>
      <c r="D123" s="31"/>
      <c r="E123" s="31"/>
      <c r="F123" s="31"/>
      <c r="G123" s="31"/>
      <c r="H123" s="31"/>
      <c r="I123" s="31"/>
      <c r="J123" s="31"/>
      <c r="K123"/>
      <c r="L123"/>
      <c r="M123"/>
      <c r="N123"/>
      <c r="O123"/>
      <c r="P123"/>
      <c r="Q123"/>
      <c r="R123"/>
      <c r="S123"/>
      <c r="T123"/>
      <c r="U123"/>
      <c r="V123"/>
    </row>
    <row r="124" spans="2:22" ht="15" customHeight="1" x14ac:dyDescent="0.25">
      <c r="B124" s="31"/>
      <c r="C124" s="31"/>
      <c r="D124" s="31"/>
      <c r="E124" s="31"/>
      <c r="F124" s="31"/>
      <c r="G124" s="31"/>
      <c r="H124" s="31"/>
      <c r="I124" s="31"/>
      <c r="J124" s="31"/>
      <c r="K124"/>
      <c r="L124"/>
      <c r="M124"/>
      <c r="N124"/>
      <c r="O124"/>
      <c r="P124"/>
      <c r="Q124"/>
      <c r="R124"/>
      <c r="S124"/>
      <c r="T124"/>
      <c r="U124"/>
      <c r="V124"/>
    </row>
    <row r="125" spans="2:22" ht="15" customHeight="1" x14ac:dyDescent="0.25">
      <c r="B125" s="31"/>
      <c r="C125" s="31"/>
      <c r="D125" s="31"/>
      <c r="E125" s="31"/>
      <c r="F125" s="31"/>
      <c r="G125" s="31"/>
      <c r="H125" s="31"/>
      <c r="I125" s="31"/>
      <c r="J125" s="31"/>
      <c r="K125"/>
      <c r="L125"/>
      <c r="M125"/>
      <c r="N125"/>
      <c r="O125"/>
      <c r="P125"/>
      <c r="Q125"/>
      <c r="R125"/>
      <c r="S125"/>
      <c r="T125"/>
      <c r="U125"/>
      <c r="V125"/>
    </row>
    <row r="126" spans="2:22" ht="15" customHeight="1" x14ac:dyDescent="0.25">
      <c r="B126" s="31"/>
      <c r="C126" s="31"/>
      <c r="D126" s="31"/>
      <c r="E126" s="31"/>
      <c r="F126" s="31"/>
      <c r="G126" s="31"/>
      <c r="H126" s="31"/>
      <c r="I126" s="31"/>
      <c r="J126" s="31"/>
      <c r="K126"/>
      <c r="L126"/>
      <c r="M126"/>
      <c r="N126"/>
      <c r="O126"/>
      <c r="P126"/>
      <c r="Q126"/>
      <c r="R126"/>
      <c r="S126"/>
      <c r="T126"/>
      <c r="U126"/>
      <c r="V126"/>
    </row>
    <row r="127" spans="2:22" ht="15" customHeight="1" x14ac:dyDescent="0.25">
      <c r="B127" s="31"/>
      <c r="C127" s="31"/>
      <c r="D127" s="31"/>
      <c r="E127" s="31"/>
      <c r="F127" s="31"/>
      <c r="G127" s="31"/>
      <c r="H127" s="31"/>
      <c r="I127" s="31"/>
      <c r="J127" s="31"/>
      <c r="K127"/>
      <c r="L127"/>
      <c r="M127"/>
      <c r="N127"/>
      <c r="O127"/>
      <c r="P127"/>
      <c r="Q127"/>
      <c r="R127"/>
      <c r="S127"/>
      <c r="T127"/>
      <c r="U127"/>
      <c r="V127"/>
    </row>
    <row r="128" spans="2:22" ht="15" customHeight="1" x14ac:dyDescent="0.25">
      <c r="B128" s="31"/>
      <c r="C128" s="31"/>
      <c r="D128" s="31"/>
      <c r="E128" s="31"/>
      <c r="F128" s="31"/>
      <c r="G128" s="31"/>
      <c r="H128" s="31"/>
      <c r="I128" s="31"/>
      <c r="J128" s="31"/>
      <c r="K128"/>
      <c r="L128"/>
      <c r="M128"/>
      <c r="N128"/>
      <c r="O128"/>
      <c r="P128"/>
      <c r="Q128"/>
      <c r="R128"/>
      <c r="S128"/>
      <c r="T128"/>
      <c r="U128"/>
      <c r="V128"/>
    </row>
    <row r="129" spans="2:22" ht="15" customHeight="1" x14ac:dyDescent="0.25">
      <c r="B129" s="31"/>
      <c r="C129" s="31"/>
      <c r="D129" s="31"/>
      <c r="E129" s="31"/>
      <c r="F129" s="31"/>
      <c r="G129" s="31"/>
      <c r="H129" s="31"/>
      <c r="I129" s="31"/>
      <c r="J129" s="31"/>
      <c r="K129"/>
      <c r="L129"/>
      <c r="M129"/>
      <c r="N129"/>
      <c r="O129"/>
      <c r="P129"/>
      <c r="Q129"/>
      <c r="R129"/>
      <c r="S129"/>
      <c r="T129"/>
      <c r="U129"/>
      <c r="V129"/>
    </row>
    <row r="130" spans="2:22" ht="15" customHeight="1" x14ac:dyDescent="0.25">
      <c r="B130" s="31"/>
      <c r="C130" s="31"/>
      <c r="D130" s="31"/>
      <c r="E130" s="31"/>
      <c r="F130" s="31"/>
      <c r="G130" s="31"/>
      <c r="H130" s="31"/>
      <c r="I130" s="31"/>
      <c r="J130" s="31"/>
      <c r="K130"/>
      <c r="L130"/>
      <c r="M130"/>
      <c r="N130"/>
      <c r="O130"/>
      <c r="P130"/>
      <c r="Q130"/>
      <c r="R130"/>
      <c r="S130"/>
      <c r="T130"/>
      <c r="U130"/>
      <c r="V130"/>
    </row>
    <row r="131" spans="2:22" ht="15" customHeight="1" x14ac:dyDescent="0.25">
      <c r="B131" s="31"/>
      <c r="C131" s="31"/>
      <c r="D131" s="31"/>
      <c r="E131" s="31"/>
      <c r="F131" s="31"/>
      <c r="G131" s="31"/>
      <c r="H131" s="31"/>
      <c r="I131" s="31"/>
      <c r="J131" s="31"/>
      <c r="K131"/>
      <c r="L131"/>
      <c r="M131"/>
      <c r="N131"/>
      <c r="O131"/>
      <c r="P131"/>
      <c r="Q131"/>
      <c r="R131"/>
      <c r="S131"/>
      <c r="T131"/>
      <c r="U131"/>
      <c r="V131"/>
    </row>
    <row r="132" spans="2:22" ht="15" customHeight="1" x14ac:dyDescent="0.25">
      <c r="B132" s="31"/>
      <c r="C132" s="31"/>
      <c r="D132" s="31"/>
      <c r="E132" s="31"/>
      <c r="F132" s="31"/>
      <c r="G132" s="31"/>
      <c r="H132" s="31"/>
      <c r="I132" s="31"/>
      <c r="J132" s="31"/>
      <c r="K132"/>
      <c r="L132"/>
      <c r="M132"/>
      <c r="N132"/>
      <c r="O132"/>
      <c r="P132"/>
      <c r="Q132"/>
      <c r="R132"/>
      <c r="S132"/>
      <c r="T132"/>
      <c r="U132"/>
      <c r="V132"/>
    </row>
    <row r="133" spans="2:22" ht="15" customHeight="1" x14ac:dyDescent="0.25">
      <c r="B133" s="31"/>
      <c r="C133" s="31"/>
      <c r="D133" s="31"/>
      <c r="E133" s="31"/>
      <c r="F133" s="31"/>
      <c r="G133" s="31"/>
      <c r="H133" s="31"/>
      <c r="I133" s="31"/>
      <c r="J133" s="31"/>
      <c r="K133"/>
      <c r="L133"/>
      <c r="M133"/>
      <c r="N133"/>
      <c r="O133"/>
      <c r="P133"/>
      <c r="Q133"/>
      <c r="R133"/>
      <c r="S133"/>
      <c r="T133"/>
      <c r="U133"/>
      <c r="V133"/>
    </row>
    <row r="134" spans="2:22" ht="15" customHeight="1" x14ac:dyDescent="0.25">
      <c r="B134" s="31"/>
      <c r="C134" s="31"/>
      <c r="D134" s="31"/>
      <c r="E134" s="31"/>
      <c r="F134" s="31"/>
      <c r="G134" s="31"/>
      <c r="H134" s="31"/>
      <c r="I134" s="31"/>
      <c r="J134" s="31"/>
      <c r="K134"/>
      <c r="L134"/>
      <c r="M134"/>
      <c r="N134"/>
      <c r="O134"/>
      <c r="P134"/>
      <c r="Q134"/>
      <c r="R134"/>
      <c r="S134"/>
      <c r="T134"/>
      <c r="U134"/>
      <c r="V134"/>
    </row>
    <row r="135" spans="2:22" ht="15" customHeight="1" x14ac:dyDescent="0.25">
      <c r="B135" s="31"/>
      <c r="C135" s="31"/>
      <c r="D135" s="31"/>
      <c r="E135" s="31"/>
      <c r="F135" s="31"/>
      <c r="G135" s="31"/>
      <c r="H135" s="31"/>
      <c r="I135" s="31"/>
      <c r="J135" s="31"/>
      <c r="K135"/>
      <c r="L135"/>
      <c r="M135"/>
      <c r="N135"/>
      <c r="O135"/>
      <c r="P135"/>
      <c r="Q135"/>
      <c r="R135"/>
      <c r="S135"/>
      <c r="T135"/>
      <c r="U135"/>
      <c r="V135"/>
    </row>
    <row r="136" spans="2:22" ht="15" customHeight="1" x14ac:dyDescent="0.25">
      <c r="B136" s="31"/>
      <c r="C136" s="31"/>
      <c r="D136" s="31"/>
      <c r="E136" s="31"/>
      <c r="F136" s="31"/>
      <c r="G136" s="31"/>
      <c r="H136" s="31"/>
      <c r="I136" s="31"/>
      <c r="J136" s="31"/>
      <c r="K136"/>
      <c r="L136"/>
      <c r="M136"/>
      <c r="N136"/>
      <c r="O136"/>
      <c r="P136"/>
      <c r="Q136"/>
      <c r="R136"/>
      <c r="S136"/>
      <c r="T136"/>
      <c r="U136"/>
      <c r="V136"/>
    </row>
    <row r="137" spans="2:22" ht="15" customHeight="1" x14ac:dyDescent="0.25">
      <c r="B137" s="31"/>
      <c r="C137" s="31"/>
      <c r="D137" s="31"/>
      <c r="E137" s="31"/>
      <c r="F137" s="31"/>
      <c r="G137" s="31"/>
      <c r="H137" s="31"/>
      <c r="I137" s="31"/>
      <c r="J137" s="31"/>
      <c r="K137"/>
      <c r="L137"/>
      <c r="M137"/>
      <c r="N137"/>
      <c r="O137"/>
      <c r="P137"/>
      <c r="Q137"/>
      <c r="R137"/>
      <c r="S137"/>
      <c r="T137"/>
      <c r="U137"/>
      <c r="V137"/>
    </row>
    <row r="138" spans="2:22" ht="15" customHeight="1" x14ac:dyDescent="0.25">
      <c r="B138" s="31"/>
      <c r="C138" s="31"/>
      <c r="D138" s="31"/>
      <c r="E138" s="31"/>
      <c r="F138" s="31"/>
      <c r="G138" s="31"/>
      <c r="H138" s="31"/>
      <c r="I138" s="31"/>
      <c r="J138" s="31"/>
      <c r="K138"/>
      <c r="L138"/>
      <c r="M138"/>
      <c r="N138"/>
      <c r="O138"/>
      <c r="P138"/>
      <c r="Q138"/>
      <c r="R138"/>
      <c r="S138"/>
      <c r="T138"/>
      <c r="U138"/>
      <c r="V138"/>
    </row>
    <row r="139" spans="2:22" ht="15" customHeight="1" x14ac:dyDescent="0.25">
      <c r="B139" s="31"/>
      <c r="C139" s="31"/>
      <c r="D139" s="31"/>
      <c r="E139" s="31"/>
      <c r="F139" s="31"/>
      <c r="G139" s="31"/>
      <c r="H139" s="31"/>
      <c r="I139" s="31"/>
      <c r="J139" s="31"/>
      <c r="K139"/>
      <c r="L139"/>
      <c r="M139"/>
      <c r="N139"/>
      <c r="O139"/>
      <c r="P139"/>
      <c r="Q139"/>
      <c r="R139"/>
      <c r="S139"/>
      <c r="T139"/>
      <c r="U139"/>
      <c r="V139"/>
    </row>
    <row r="140" spans="2:22" ht="15" customHeight="1" x14ac:dyDescent="0.25">
      <c r="B140" s="31"/>
      <c r="C140" s="31"/>
      <c r="D140" s="31"/>
      <c r="E140" s="31"/>
      <c r="F140" s="31"/>
      <c r="G140" s="31"/>
      <c r="H140" s="31"/>
      <c r="I140" s="31"/>
      <c r="J140" s="31"/>
      <c r="K140"/>
      <c r="L140"/>
      <c r="M140"/>
      <c r="N140"/>
      <c r="O140"/>
      <c r="P140"/>
      <c r="Q140"/>
      <c r="R140"/>
      <c r="S140"/>
      <c r="T140"/>
      <c r="U140"/>
      <c r="V140"/>
    </row>
  </sheetData>
  <mergeCells count="1">
    <mergeCell ref="H1:I1"/>
  </mergeCells>
  <conditionalFormatting sqref="B1">
    <cfRule type="cellIs" dxfId="8" priority="1" operator="equal">
      <formula>"Incomplete"</formula>
    </cfRule>
    <cfRule type="cellIs" dxfId="7" priority="2" operator="equal">
      <formula>"Flag for Review"</formula>
    </cfRule>
    <cfRule type="cellIs" dxfId="6" priority="3" operator="equal">
      <formula>"Finished"</formula>
    </cfRule>
  </conditionalFormatting>
  <dataValidations count="1">
    <dataValidation type="list" allowBlank="1" showInputMessage="1" showErrorMessage="1" sqref="B1">
      <formula1>"Finished, Flag for Review, Incomplete"</formula1>
    </dataValidation>
  </dataValidations>
  <hyperlinks>
    <hyperlink ref="H1" location="'Point Grid'!A8" display="Return to Point Grid"/>
    <hyperlink ref="H1:I1" location="'Point Grid'!A1" display="Return to Point Grid"/>
  </hyperlink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O109"/>
  <sheetViews>
    <sheetView workbookViewId="0"/>
  </sheetViews>
  <sheetFormatPr defaultColWidth="9.140625" defaultRowHeight="15" x14ac:dyDescent="0.25"/>
  <cols>
    <col min="1" max="1" width="9.140625" style="21"/>
    <col min="2" max="2" width="16" style="21" customWidth="1"/>
    <col min="3" max="12" width="8.7109375" style="21" customWidth="1"/>
    <col min="13" max="14" width="11.140625" style="21" customWidth="1"/>
    <col min="15" max="16384" width="9.140625" style="21"/>
  </cols>
  <sheetData>
    <row r="1" spans="1:41" x14ac:dyDescent="0.25">
      <c r="A1" s="7">
        <v>29</v>
      </c>
      <c r="B1" s="27" t="s">
        <v>12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384" t="s">
        <v>24</v>
      </c>
      <c r="N1" s="385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</row>
    <row r="2" spans="1:41" x14ac:dyDescent="0.25">
      <c r="A2" s="22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23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</row>
    <row r="3" spans="1:41" x14ac:dyDescent="0.25">
      <c r="A3" s="8" t="s">
        <v>13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8"/>
      <c r="O3" s="31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</row>
    <row r="4" spans="1:41" x14ac:dyDescent="0.25">
      <c r="A4" s="9">
        <f>INDEX('Point Grid'!B:B,MATCH(A1,'Point Grid'!A:A,0))</f>
        <v>2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8"/>
      <c r="O4" s="31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</row>
    <row r="5" spans="1:41" x14ac:dyDescent="0.25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8"/>
      <c r="O5" s="31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</row>
    <row r="6" spans="1:41" x14ac:dyDescent="0.25">
      <c r="A6" s="25" t="s">
        <v>2</v>
      </c>
      <c r="B6" s="360" t="s">
        <v>417</v>
      </c>
      <c r="C6" s="372" t="s">
        <v>396</v>
      </c>
      <c r="D6" s="373"/>
      <c r="E6" s="359" t="s">
        <v>397</v>
      </c>
      <c r="F6" s="359"/>
      <c r="G6" s="359"/>
      <c r="H6" s="374" t="s">
        <v>290</v>
      </c>
      <c r="I6" s="360" t="s">
        <v>398</v>
      </c>
      <c r="J6" s="359" t="s">
        <v>303</v>
      </c>
      <c r="K6" s="374">
        <f>B22</f>
        <v>2023</v>
      </c>
      <c r="L6" s="65"/>
      <c r="M6" s="17"/>
      <c r="N6" s="18"/>
      <c r="O6" s="31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</row>
    <row r="7" spans="1:41" ht="15.75" thickBot="1" x14ac:dyDescent="0.3">
      <c r="A7" s="9">
        <f>INDEX('Point Grid'!$C$8:$I$54,MATCH($A$1,'Point Grid'!$A$8:$A$54,0),MATCH(A6,'Point Grid'!$C$7:$I$7,0))</f>
        <v>2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17"/>
      <c r="N7" s="18"/>
      <c r="O7" s="31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</row>
    <row r="8" spans="1:41" ht="15.75" thickBot="1" x14ac:dyDescent="0.3">
      <c r="A8" s="5"/>
      <c r="B8" s="65" t="s">
        <v>399</v>
      </c>
      <c r="C8" s="65"/>
      <c r="D8" s="65"/>
      <c r="E8" s="65"/>
      <c r="F8" s="65"/>
      <c r="G8" s="65"/>
      <c r="H8" s="65" t="s">
        <v>400</v>
      </c>
      <c r="I8" s="65"/>
      <c r="J8" s="65"/>
      <c r="K8" s="65"/>
      <c r="L8" s="65"/>
      <c r="M8" s="28"/>
      <c r="N8" s="18"/>
      <c r="O8" s="31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</row>
    <row r="9" spans="1:41" x14ac:dyDescent="0.25">
      <c r="A9" s="25"/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17"/>
      <c r="N9" s="18"/>
      <c r="O9" s="31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</row>
    <row r="10" spans="1:41" x14ac:dyDescent="0.25">
      <c r="A10" s="25"/>
      <c r="B10" s="361" t="s">
        <v>73</v>
      </c>
      <c r="C10" s="216">
        <v>12</v>
      </c>
      <c r="D10" s="216">
        <v>24</v>
      </c>
      <c r="E10" s="216">
        <v>36</v>
      </c>
      <c r="F10" s="216">
        <v>48</v>
      </c>
      <c r="G10" s="65"/>
      <c r="H10" s="361" t="s">
        <v>73</v>
      </c>
      <c r="I10" s="216">
        <v>12</v>
      </c>
      <c r="J10" s="216">
        <v>24</v>
      </c>
      <c r="K10" s="216">
        <v>36</v>
      </c>
      <c r="L10" s="216">
        <v>48</v>
      </c>
      <c r="M10" s="17"/>
      <c r="N10" s="18"/>
      <c r="O10" s="31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</row>
    <row r="11" spans="1:41" x14ac:dyDescent="0.25">
      <c r="A11" s="25"/>
      <c r="B11" s="362">
        <f>B12-1</f>
        <v>2020</v>
      </c>
      <c r="C11" s="363">
        <v>7200</v>
      </c>
      <c r="D11" s="363">
        <v>21600</v>
      </c>
      <c r="E11" s="363">
        <v>31800</v>
      </c>
      <c r="F11" s="363">
        <v>34300</v>
      </c>
      <c r="G11" s="65"/>
      <c r="H11" s="362">
        <f>B11</f>
        <v>2020</v>
      </c>
      <c r="I11" s="363">
        <v>173</v>
      </c>
      <c r="J11" s="363">
        <v>676</v>
      </c>
      <c r="K11" s="363">
        <v>1049</v>
      </c>
      <c r="L11" s="363">
        <v>1177</v>
      </c>
      <c r="M11" s="17"/>
      <c r="N11" s="18"/>
      <c r="O11" s="3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</row>
    <row r="12" spans="1:41" x14ac:dyDescent="0.25">
      <c r="A12" s="25"/>
      <c r="B12" s="362">
        <f>B13-1</f>
        <v>2021</v>
      </c>
      <c r="C12" s="363">
        <v>7500</v>
      </c>
      <c r="D12" s="363">
        <v>24300</v>
      </c>
      <c r="E12" s="363">
        <v>36800</v>
      </c>
      <c r="F12" s="65"/>
      <c r="G12" s="65"/>
      <c r="H12" s="362">
        <f>B12</f>
        <v>2021</v>
      </c>
      <c r="I12" s="363">
        <v>165</v>
      </c>
      <c r="J12" s="363">
        <v>665</v>
      </c>
      <c r="K12" s="363">
        <v>1075</v>
      </c>
      <c r="L12" s="363"/>
      <c r="M12" s="17"/>
      <c r="N12" s="18"/>
      <c r="O12" s="31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</row>
    <row r="13" spans="1:41" x14ac:dyDescent="0.25">
      <c r="A13" s="25"/>
      <c r="B13" s="362">
        <f>B14-1</f>
        <v>2022</v>
      </c>
      <c r="C13" s="363">
        <v>7200</v>
      </c>
      <c r="D13" s="363">
        <v>22000</v>
      </c>
      <c r="E13" s="65"/>
      <c r="F13" s="65"/>
      <c r="G13" s="65"/>
      <c r="H13" s="362">
        <f>B13</f>
        <v>2022</v>
      </c>
      <c r="I13" s="363">
        <v>151</v>
      </c>
      <c r="J13" s="363">
        <v>602</v>
      </c>
      <c r="K13" s="363"/>
      <c r="L13" s="363"/>
      <c r="M13" s="17"/>
      <c r="N13" s="18"/>
      <c r="O13" s="31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</row>
    <row r="14" spans="1:41" x14ac:dyDescent="0.25">
      <c r="A14" s="25"/>
      <c r="B14" s="362">
        <v>2023</v>
      </c>
      <c r="C14" s="363">
        <v>7900</v>
      </c>
      <c r="D14" s="65"/>
      <c r="E14" s="65"/>
      <c r="F14" s="65"/>
      <c r="G14" s="65"/>
      <c r="H14" s="362">
        <f>B14</f>
        <v>2023</v>
      </c>
      <c r="I14" s="363">
        <v>205</v>
      </c>
      <c r="J14" s="363"/>
      <c r="K14" s="363"/>
      <c r="L14" s="363"/>
      <c r="M14" s="17"/>
      <c r="N14" s="18"/>
      <c r="O14" s="31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</row>
    <row r="15" spans="1:41" x14ac:dyDescent="0.25">
      <c r="A15" s="25"/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17"/>
      <c r="N15" s="18"/>
      <c r="O15" s="31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</row>
    <row r="16" spans="1:41" x14ac:dyDescent="0.25">
      <c r="A16" s="25"/>
      <c r="B16" s="65" t="s">
        <v>401</v>
      </c>
      <c r="C16" s="65"/>
      <c r="D16" s="65"/>
      <c r="E16" s="65"/>
      <c r="F16" s="65"/>
      <c r="G16" s="65"/>
      <c r="H16" s="65"/>
      <c r="I16" s="364"/>
      <c r="J16" s="267"/>
      <c r="K16" s="267"/>
      <c r="L16" s="267"/>
      <c r="M16" s="17"/>
      <c r="N16" s="18"/>
      <c r="O16" s="31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</row>
    <row r="17" spans="1:41" x14ac:dyDescent="0.25">
      <c r="A17" s="25"/>
      <c r="B17" s="65"/>
      <c r="C17" s="65"/>
      <c r="D17" s="65"/>
      <c r="E17" s="65"/>
      <c r="F17" s="65"/>
      <c r="G17" s="65"/>
      <c r="H17" s="65"/>
      <c r="I17" s="364"/>
      <c r="J17" s="267"/>
      <c r="K17" s="65"/>
      <c r="L17" s="65"/>
      <c r="M17" s="17"/>
      <c r="N17" s="18"/>
      <c r="O17" s="31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</row>
    <row r="18" spans="1:41" x14ac:dyDescent="0.25">
      <c r="A18" s="25"/>
      <c r="B18" s="361" t="s">
        <v>73</v>
      </c>
      <c r="C18" s="365" t="s">
        <v>402</v>
      </c>
      <c r="D18" s="215"/>
      <c r="E18" s="366"/>
      <c r="F18" s="65"/>
      <c r="G18" s="65"/>
      <c r="H18" s="65"/>
      <c r="I18" s="364"/>
      <c r="J18" s="65"/>
      <c r="K18" s="65"/>
      <c r="L18" s="65"/>
      <c r="M18" s="17"/>
      <c r="N18" s="18"/>
      <c r="O18" s="31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</row>
    <row r="19" spans="1:41" x14ac:dyDescent="0.25">
      <c r="A19" s="25"/>
      <c r="B19" s="362">
        <f>B11</f>
        <v>2020</v>
      </c>
      <c r="C19" s="367">
        <v>34300</v>
      </c>
      <c r="D19" s="65"/>
      <c r="E19" s="366"/>
      <c r="F19" s="115"/>
      <c r="G19" s="65"/>
      <c r="H19" s="65"/>
      <c r="I19" s="364"/>
      <c r="J19" s="65"/>
      <c r="K19" s="65"/>
      <c r="L19" s="65"/>
      <c r="M19" s="17"/>
      <c r="N19" s="18"/>
      <c r="O19" s="31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</row>
    <row r="20" spans="1:41" x14ac:dyDescent="0.25">
      <c r="A20" s="25"/>
      <c r="B20" s="362">
        <f>B12</f>
        <v>2021</v>
      </c>
      <c r="C20" s="367">
        <v>39693</v>
      </c>
      <c r="D20" s="65"/>
      <c r="E20" s="366"/>
      <c r="F20" s="115"/>
      <c r="G20" s="65"/>
      <c r="H20" s="65"/>
      <c r="I20" s="65"/>
      <c r="J20" s="65"/>
      <c r="K20" s="65"/>
      <c r="L20" s="65"/>
      <c r="M20" s="17"/>
      <c r="N20" s="18"/>
      <c r="O20" s="31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</row>
    <row r="21" spans="1:41" x14ac:dyDescent="0.25">
      <c r="A21" s="25"/>
      <c r="B21" s="362">
        <f>B13</f>
        <v>2022</v>
      </c>
      <c r="C21" s="367">
        <v>35436</v>
      </c>
      <c r="D21" s="65"/>
      <c r="E21" s="65"/>
      <c r="F21" s="115"/>
      <c r="G21" s="65"/>
      <c r="H21" s="65"/>
      <c r="I21" s="65"/>
      <c r="J21" s="65"/>
      <c r="K21" s="65"/>
      <c r="L21" s="65"/>
      <c r="M21" s="17"/>
      <c r="N21" s="18"/>
      <c r="O21" s="3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</row>
    <row r="22" spans="1:41" x14ac:dyDescent="0.25">
      <c r="A22" s="25"/>
      <c r="B22" s="362">
        <f>B14</f>
        <v>2023</v>
      </c>
      <c r="C22" s="367">
        <v>39427</v>
      </c>
      <c r="D22" s="65"/>
      <c r="E22" s="65"/>
      <c r="F22" s="115"/>
      <c r="G22" s="65"/>
      <c r="H22" s="65"/>
      <c r="I22" s="65"/>
      <c r="J22" s="65"/>
      <c r="K22" s="65"/>
      <c r="L22" s="65"/>
      <c r="M22" s="17"/>
      <c r="N22" s="18"/>
      <c r="O22" s="31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</row>
    <row r="23" spans="1:41" x14ac:dyDescent="0.25">
      <c r="A23" s="25"/>
      <c r="B23" s="115"/>
      <c r="C23" s="115"/>
      <c r="D23" s="65"/>
      <c r="E23" s="65"/>
      <c r="F23" s="115"/>
      <c r="G23" s="65"/>
      <c r="H23" s="65"/>
      <c r="I23" s="190"/>
      <c r="J23" s="190"/>
      <c r="K23" s="65"/>
      <c r="L23" s="65"/>
      <c r="M23" s="17"/>
      <c r="N23" s="18"/>
      <c r="O23" s="31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</row>
    <row r="24" spans="1:41" x14ac:dyDescent="0.25">
      <c r="A24" s="25"/>
      <c r="B24" s="368" t="s">
        <v>403</v>
      </c>
      <c r="C24" s="369"/>
      <c r="D24" s="369"/>
      <c r="E24" s="369"/>
      <c r="F24" s="369"/>
      <c r="G24" s="369"/>
      <c r="H24" s="369"/>
      <c r="I24" s="370"/>
      <c r="J24" s="371"/>
      <c r="K24" s="115"/>
      <c r="L24" s="65"/>
      <c r="M24" s="17"/>
      <c r="N24" s="18"/>
      <c r="O24" s="31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</row>
    <row r="25" spans="1:41" x14ac:dyDescent="0.25">
      <c r="A25" s="25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8"/>
      <c r="O25" s="31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</row>
    <row r="26" spans="1:41" ht="15.75" thickBot="1" x14ac:dyDescent="0.3">
      <c r="A26" s="24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3"/>
      <c r="O26" s="31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</row>
    <row r="27" spans="1:41" x14ac:dyDescent="0.25">
      <c r="O27" s="31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</row>
    <row r="28" spans="1:41" x14ac:dyDescent="0.25">
      <c r="O28" s="31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</row>
    <row r="29" spans="1:41" x14ac:dyDescent="0.25">
      <c r="O29" s="31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</row>
    <row r="30" spans="1:41" x14ac:dyDescent="0.25"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</row>
    <row r="31" spans="1:41" x14ac:dyDescent="0.25">
      <c r="O31" s="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</row>
    <row r="32" spans="1:41" x14ac:dyDescent="0.25">
      <c r="O32" s="31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</row>
    <row r="33" spans="15:41" x14ac:dyDescent="0.25">
      <c r="O33" s="31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</row>
    <row r="34" spans="15:41" x14ac:dyDescent="0.25">
      <c r="O34" s="31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</row>
    <row r="35" spans="15:41" x14ac:dyDescent="0.25">
      <c r="O35" s="31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</row>
    <row r="36" spans="15:41" x14ac:dyDescent="0.25">
      <c r="O36" s="31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</row>
    <row r="37" spans="15:41" x14ac:dyDescent="0.25">
      <c r="O37" s="31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</row>
    <row r="38" spans="15:41" ht="15" customHeight="1" x14ac:dyDescent="0.25">
      <c r="O38" s="31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</row>
    <row r="39" spans="15:41" ht="15" customHeight="1" x14ac:dyDescent="0.25">
      <c r="O39" s="31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</row>
    <row r="40" spans="15:41" ht="15" customHeight="1" x14ac:dyDescent="0.25">
      <c r="O40" s="31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</row>
    <row r="41" spans="15:41" ht="15" customHeight="1" x14ac:dyDescent="0.25">
      <c r="O41" s="3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</row>
    <row r="42" spans="15:41" ht="15" customHeight="1" x14ac:dyDescent="0.25">
      <c r="O42" s="31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</row>
    <row r="43" spans="15:41" ht="15" customHeight="1" x14ac:dyDescent="0.25">
      <c r="O43" s="31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</row>
    <row r="44" spans="15:41" ht="15" customHeight="1" x14ac:dyDescent="0.25">
      <c r="O44" s="31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</row>
    <row r="45" spans="15:41" ht="15" customHeight="1" x14ac:dyDescent="0.25">
      <c r="O45" s="31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</row>
    <row r="46" spans="15:41" ht="15" customHeight="1" x14ac:dyDescent="0.25">
      <c r="O46" s="31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</row>
    <row r="47" spans="15:41" ht="15" customHeight="1" x14ac:dyDescent="0.25">
      <c r="O47" s="31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</row>
    <row r="48" spans="15:41" ht="15" customHeight="1" x14ac:dyDescent="0.25">
      <c r="O48" s="31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</row>
    <row r="49" spans="2:41" ht="15" customHeight="1" x14ac:dyDescent="0.25">
      <c r="O49" s="31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</row>
    <row r="50" spans="2:41" ht="15" customHeight="1" x14ac:dyDescent="0.25">
      <c r="O50" s="31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</row>
    <row r="51" spans="2:41" ht="15" customHeight="1" x14ac:dyDescent="0.25">
      <c r="O51" s="3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</row>
    <row r="52" spans="2:41" ht="15" customHeight="1" x14ac:dyDescent="0.25">
      <c r="O52" s="31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</row>
    <row r="53" spans="2:41" ht="15" customHeight="1" x14ac:dyDescent="0.25">
      <c r="O53" s="31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</row>
    <row r="54" spans="2:41" ht="15" customHeight="1" x14ac:dyDescent="0.25"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</row>
    <row r="55" spans="2:41" ht="15" customHeight="1" x14ac:dyDescent="0.25"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</row>
    <row r="56" spans="2:41" ht="15" customHeight="1" x14ac:dyDescent="0.25"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</row>
    <row r="57" spans="2:41" ht="15" customHeight="1" x14ac:dyDescent="0.25"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</row>
    <row r="58" spans="2:41" ht="15" customHeight="1" x14ac:dyDescent="0.25"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</row>
    <row r="59" spans="2:41" ht="15" customHeight="1" x14ac:dyDescent="0.25"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</row>
    <row r="60" spans="2:41" ht="15" customHeight="1" x14ac:dyDescent="0.25"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</row>
    <row r="61" spans="2:41" ht="15" customHeight="1" x14ac:dyDescent="0.25"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</row>
    <row r="62" spans="2:41" ht="15" customHeight="1" x14ac:dyDescent="0.25"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</row>
    <row r="63" spans="2:41" ht="15" customHeight="1" x14ac:dyDescent="0.25"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</row>
    <row r="64" spans="2:41" ht="15" customHeight="1" x14ac:dyDescent="0.25"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</row>
    <row r="65" spans="2:41" ht="15" customHeight="1" x14ac:dyDescent="0.25"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</row>
    <row r="66" spans="2:41" ht="15" customHeight="1" x14ac:dyDescent="0.25"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</row>
    <row r="67" spans="2:41" ht="15" customHeight="1" x14ac:dyDescent="0.25"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</row>
    <row r="68" spans="2:41" ht="15" customHeight="1" x14ac:dyDescent="0.25"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</row>
    <row r="69" spans="2:41" ht="15" customHeight="1" x14ac:dyDescent="0.25"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</row>
    <row r="70" spans="2:41" ht="15" customHeight="1" x14ac:dyDescent="0.25"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</row>
    <row r="71" spans="2:41" ht="15" customHeight="1" x14ac:dyDescent="0.25"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</row>
    <row r="72" spans="2:41" ht="15" customHeight="1" x14ac:dyDescent="0.25"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</row>
    <row r="73" spans="2:41" ht="15" customHeight="1" x14ac:dyDescent="0.25"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</row>
    <row r="74" spans="2:41" ht="15" customHeight="1" x14ac:dyDescent="0.25"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</row>
    <row r="75" spans="2:41" ht="15" customHeight="1" x14ac:dyDescent="0.25"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</row>
    <row r="76" spans="2:41" ht="15" customHeight="1" x14ac:dyDescent="0.25"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</row>
    <row r="77" spans="2:41" ht="15" customHeight="1" x14ac:dyDescent="0.25"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</row>
    <row r="78" spans="2:41" ht="15" customHeight="1" x14ac:dyDescent="0.25"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</row>
    <row r="79" spans="2:41" ht="15" customHeight="1" x14ac:dyDescent="0.25"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</row>
    <row r="80" spans="2:41" ht="15" customHeight="1" x14ac:dyDescent="0.25"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</row>
    <row r="81" spans="2:41" ht="15" customHeight="1" x14ac:dyDescent="0.25"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</row>
    <row r="82" spans="2:41" ht="15" customHeight="1" x14ac:dyDescent="0.25"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</row>
    <row r="83" spans="2:41" ht="15" customHeight="1" x14ac:dyDescent="0.25"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</row>
    <row r="84" spans="2:41" ht="15" customHeight="1" x14ac:dyDescent="0.25"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</row>
    <row r="85" spans="2:41" ht="15" customHeight="1" x14ac:dyDescent="0.25"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</row>
    <row r="86" spans="2:41" ht="15" customHeight="1" x14ac:dyDescent="0.25"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</row>
    <row r="87" spans="2:41" ht="15" customHeight="1" x14ac:dyDescent="0.25"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</row>
    <row r="88" spans="2:41" ht="15" customHeight="1" x14ac:dyDescent="0.25"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</row>
    <row r="89" spans="2:41" ht="15" customHeight="1" x14ac:dyDescent="0.25"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</row>
    <row r="90" spans="2:41" ht="15" customHeight="1" x14ac:dyDescent="0.25"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</row>
    <row r="91" spans="2:41" ht="15" customHeight="1" x14ac:dyDescent="0.25"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</row>
    <row r="92" spans="2:41" ht="15" customHeight="1" x14ac:dyDescent="0.25"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</row>
    <row r="93" spans="2:41" ht="15" customHeight="1" x14ac:dyDescent="0.25"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</row>
    <row r="94" spans="2:41" ht="15" customHeight="1" x14ac:dyDescent="0.25"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</row>
    <row r="95" spans="2:41" ht="15" customHeight="1" x14ac:dyDescent="0.25"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</row>
    <row r="96" spans="2:41" ht="15" customHeight="1" x14ac:dyDescent="0.25"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</row>
    <row r="97" spans="2:41" ht="15" customHeight="1" x14ac:dyDescent="0.25"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</row>
    <row r="98" spans="2:41" ht="15" customHeight="1" x14ac:dyDescent="0.25"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</row>
    <row r="99" spans="2:41" ht="15" customHeight="1" x14ac:dyDescent="0.25"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</row>
    <row r="100" spans="2:41" ht="15" customHeight="1" x14ac:dyDescent="0.25"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</row>
    <row r="101" spans="2:41" ht="15" customHeight="1" x14ac:dyDescent="0.25"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</row>
    <row r="102" spans="2:41" ht="15" customHeight="1" x14ac:dyDescent="0.25"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</row>
    <row r="103" spans="2:41" ht="15" customHeight="1" x14ac:dyDescent="0.25"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</row>
    <row r="104" spans="2:41" ht="15" customHeight="1" x14ac:dyDescent="0.25"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</row>
    <row r="105" spans="2:41" ht="15" customHeight="1" x14ac:dyDescent="0.25"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</row>
    <row r="106" spans="2:41" ht="15" customHeight="1" x14ac:dyDescent="0.25"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</row>
    <row r="107" spans="2:41" ht="15" customHeight="1" x14ac:dyDescent="0.25"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</row>
    <row r="108" spans="2:41" ht="15" customHeight="1" x14ac:dyDescent="0.25"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</row>
    <row r="109" spans="2:41" ht="15" customHeight="1" x14ac:dyDescent="0.25"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</row>
  </sheetData>
  <mergeCells count="1">
    <mergeCell ref="M1:N1"/>
  </mergeCells>
  <conditionalFormatting sqref="B1">
    <cfRule type="cellIs" dxfId="5" priority="1" operator="equal">
      <formula>"Incomplete"</formula>
    </cfRule>
    <cfRule type="cellIs" dxfId="4" priority="2" operator="equal">
      <formula>"Flag for Review"</formula>
    </cfRule>
    <cfRule type="cellIs" dxfId="3" priority="3" operator="equal">
      <formula>"Finished"</formula>
    </cfRule>
  </conditionalFormatting>
  <dataValidations count="1">
    <dataValidation type="list" allowBlank="1" showInputMessage="1" showErrorMessage="1" sqref="B1">
      <formula1>"Finished, Flag for Review, Incomplete"</formula1>
    </dataValidation>
  </dataValidations>
  <hyperlinks>
    <hyperlink ref="M1" location="'Point Grid'!A8" display="Return to Point Grid"/>
    <hyperlink ref="M1:N1" location="'Point Grid'!A1" display="Return to Point Grid"/>
  </hyperlinks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B101"/>
  <sheetViews>
    <sheetView workbookViewId="0"/>
  </sheetViews>
  <sheetFormatPr defaultColWidth="9.140625" defaultRowHeight="15" x14ac:dyDescent="0.25"/>
  <cols>
    <col min="1" max="1" width="9.140625" style="21"/>
    <col min="2" max="2" width="16" style="21" bestFit="1" customWidth="1"/>
    <col min="3" max="8" width="8.7109375" style="21" customWidth="1"/>
    <col min="9" max="10" width="10.7109375" style="21" customWidth="1"/>
    <col min="11" max="11" width="8.7109375" style="21" customWidth="1"/>
    <col min="12" max="13" width="11.140625" style="21" customWidth="1"/>
    <col min="14" max="25" width="9.140625" style="21"/>
    <col min="26" max="26" width="10.7109375" style="21" customWidth="1"/>
    <col min="27" max="16384" width="9.140625" style="21"/>
  </cols>
  <sheetData>
    <row r="1" spans="1:28" x14ac:dyDescent="0.25">
      <c r="A1" s="7">
        <v>30</v>
      </c>
      <c r="B1" s="27" t="s">
        <v>12</v>
      </c>
      <c r="C1" s="20"/>
      <c r="D1" s="20"/>
      <c r="E1" s="20"/>
      <c r="F1" s="20"/>
      <c r="G1" s="20"/>
      <c r="H1" s="20"/>
      <c r="I1" s="20"/>
      <c r="J1" s="20"/>
      <c r="K1" s="20"/>
      <c r="L1" s="384" t="s">
        <v>24</v>
      </c>
      <c r="M1" s="386"/>
      <c r="O1"/>
      <c r="P1"/>
      <c r="Q1"/>
      <c r="R1"/>
      <c r="S1"/>
      <c r="T1"/>
      <c r="U1"/>
      <c r="V1"/>
      <c r="W1"/>
      <c r="X1"/>
      <c r="Y1"/>
      <c r="Z1"/>
      <c r="AA1"/>
      <c r="AB1"/>
    </row>
    <row r="2" spans="1:28" x14ac:dyDescent="0.25">
      <c r="A2" s="22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23"/>
      <c r="O2"/>
      <c r="P2"/>
      <c r="Q2"/>
      <c r="R2"/>
      <c r="S2"/>
      <c r="T2"/>
      <c r="U2"/>
      <c r="V2"/>
      <c r="W2"/>
      <c r="X2"/>
      <c r="Y2"/>
      <c r="Z2"/>
      <c r="AA2"/>
      <c r="AB2"/>
    </row>
    <row r="3" spans="1:28" x14ac:dyDescent="0.25">
      <c r="A3" s="8" t="s">
        <v>13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8"/>
      <c r="N3" s="31"/>
      <c r="O3"/>
      <c r="P3"/>
      <c r="Q3"/>
      <c r="R3"/>
      <c r="S3"/>
      <c r="T3"/>
      <c r="U3"/>
      <c r="V3"/>
      <c r="W3"/>
      <c r="X3"/>
      <c r="Y3"/>
      <c r="Z3"/>
      <c r="AA3"/>
      <c r="AB3"/>
    </row>
    <row r="4" spans="1:28" x14ac:dyDescent="0.25">
      <c r="A4" s="9">
        <f>INDEX('Point Grid'!B:B,MATCH(A1,'Point Grid'!A:A,0))</f>
        <v>2.5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8"/>
      <c r="N4" s="31"/>
      <c r="O4"/>
      <c r="P4"/>
      <c r="Q4"/>
      <c r="R4"/>
      <c r="S4"/>
      <c r="T4"/>
      <c r="U4"/>
      <c r="V4"/>
      <c r="W4"/>
      <c r="X4"/>
      <c r="Y4"/>
      <c r="Z4"/>
      <c r="AA4"/>
      <c r="AB4"/>
    </row>
    <row r="5" spans="1:28" x14ac:dyDescent="0.25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8"/>
      <c r="N5" s="31"/>
      <c r="O5"/>
      <c r="P5"/>
      <c r="Q5"/>
      <c r="R5"/>
      <c r="S5"/>
      <c r="T5"/>
      <c r="U5"/>
      <c r="V5"/>
      <c r="W5"/>
      <c r="X5"/>
      <c r="Y5"/>
      <c r="Z5"/>
      <c r="AA5"/>
      <c r="AB5"/>
    </row>
    <row r="6" spans="1:28" x14ac:dyDescent="0.25">
      <c r="A6" s="25" t="s">
        <v>2</v>
      </c>
      <c r="B6" s="17" t="s">
        <v>416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8"/>
      <c r="N6" s="31"/>
      <c r="O6"/>
      <c r="P6"/>
      <c r="Q6"/>
      <c r="R6"/>
      <c r="S6"/>
      <c r="T6"/>
      <c r="U6"/>
      <c r="V6"/>
      <c r="W6"/>
      <c r="X6"/>
      <c r="Y6"/>
      <c r="Z6"/>
      <c r="AA6"/>
      <c r="AB6"/>
    </row>
    <row r="7" spans="1:28" ht="15.75" thickBot="1" x14ac:dyDescent="0.3">
      <c r="A7" s="9">
        <f>INDEX('Point Grid'!$C$8:$I$54,MATCH($A$1,'Point Grid'!$A$8:$A$54,0),MATCH(A6,'Point Grid'!$C$7:$I$7,0))</f>
        <v>0.75</v>
      </c>
      <c r="B7" s="17" t="s">
        <v>415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8"/>
      <c r="N7" s="31"/>
      <c r="O7"/>
      <c r="P7"/>
      <c r="Q7"/>
      <c r="R7"/>
      <c r="S7"/>
      <c r="T7"/>
      <c r="U7"/>
      <c r="V7"/>
      <c r="W7"/>
      <c r="X7"/>
      <c r="Y7"/>
      <c r="Z7"/>
      <c r="AA7"/>
      <c r="AB7"/>
    </row>
    <row r="8" spans="1:28" ht="15.75" thickBot="1" x14ac:dyDescent="0.3">
      <c r="A8" s="5"/>
      <c r="B8" s="17"/>
      <c r="C8" s="28"/>
      <c r="D8" s="28"/>
      <c r="E8" s="28"/>
      <c r="F8" s="28"/>
      <c r="G8" s="28"/>
      <c r="H8" s="28"/>
      <c r="I8" s="28"/>
      <c r="J8" s="28"/>
      <c r="K8" s="28"/>
      <c r="L8" s="28"/>
      <c r="M8" s="18"/>
      <c r="N8" s="31"/>
      <c r="O8"/>
      <c r="P8"/>
      <c r="Q8"/>
      <c r="R8"/>
      <c r="S8"/>
      <c r="T8"/>
      <c r="U8"/>
      <c r="V8"/>
      <c r="W8"/>
      <c r="X8"/>
      <c r="Y8"/>
      <c r="Z8"/>
      <c r="AA8"/>
      <c r="AB8"/>
    </row>
    <row r="9" spans="1:28" x14ac:dyDescent="0.25">
      <c r="A9" s="25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8"/>
      <c r="N9" s="31"/>
      <c r="O9"/>
      <c r="P9"/>
      <c r="Q9"/>
      <c r="R9"/>
      <c r="S9"/>
      <c r="T9"/>
      <c r="U9"/>
      <c r="V9"/>
      <c r="W9"/>
      <c r="X9"/>
      <c r="Y9"/>
      <c r="Z9"/>
      <c r="AA9"/>
      <c r="AB9"/>
    </row>
    <row r="10" spans="1:28" x14ac:dyDescent="0.25">
      <c r="A10" s="25" t="s">
        <v>3</v>
      </c>
      <c r="B10" s="360" t="s">
        <v>395</v>
      </c>
      <c r="C10" s="372" t="s">
        <v>404</v>
      </c>
      <c r="D10" s="373"/>
      <c r="E10" s="359" t="s">
        <v>397</v>
      </c>
      <c r="F10" s="359"/>
      <c r="G10" s="359"/>
      <c r="H10" s="360" t="s">
        <v>314</v>
      </c>
      <c r="I10" s="360" t="s">
        <v>405</v>
      </c>
      <c r="J10" s="359" t="s">
        <v>282</v>
      </c>
      <c r="K10" s="281">
        <v>2023</v>
      </c>
      <c r="L10" s="17"/>
      <c r="M10" s="18"/>
      <c r="N10" s="31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28" ht="15.75" thickBot="1" x14ac:dyDescent="0.3">
      <c r="A11" s="9">
        <f>INDEX('Point Grid'!$C$8:$I$54,MATCH($A$1,'Point Grid'!$A$8:$A$54,0),MATCH(A10,'Point Grid'!$C$7:$I$7,0))</f>
        <v>1.75</v>
      </c>
      <c r="B11" s="96"/>
      <c r="C11" s="96"/>
      <c r="D11" s="96"/>
      <c r="E11" s="96"/>
      <c r="F11" s="96"/>
      <c r="G11" s="96"/>
      <c r="H11" s="96"/>
      <c r="I11" s="96"/>
      <c r="J11" s="96"/>
      <c r="K11" s="96"/>
      <c r="L11" s="17"/>
      <c r="M11" s="18"/>
      <c r="N11" s="3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28" ht="15.75" thickBot="1" x14ac:dyDescent="0.3">
      <c r="A12" s="5"/>
      <c r="B12" s="96"/>
      <c r="C12" s="223" t="s">
        <v>406</v>
      </c>
      <c r="D12" s="223"/>
      <c r="E12" s="96" t="s">
        <v>407</v>
      </c>
      <c r="F12" s="96"/>
      <c r="G12" s="96"/>
      <c r="H12" s="96"/>
      <c r="I12" s="96"/>
      <c r="J12" s="96"/>
      <c r="K12" s="96"/>
      <c r="L12" s="28"/>
      <c r="M12" s="18"/>
      <c r="N12" s="31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28" x14ac:dyDescent="0.25">
      <c r="A13" s="25"/>
      <c r="B13" s="96"/>
      <c r="C13" s="96"/>
      <c r="D13" s="96"/>
      <c r="E13" s="96"/>
      <c r="F13" s="96"/>
      <c r="G13" s="96"/>
      <c r="H13" s="96"/>
      <c r="I13" s="96"/>
      <c r="J13" s="116"/>
      <c r="K13" s="116"/>
      <c r="L13" s="28"/>
      <c r="M13" s="18"/>
      <c r="N13" s="31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28" x14ac:dyDescent="0.25">
      <c r="A14" s="25"/>
      <c r="B14" s="115"/>
      <c r="C14" s="117"/>
      <c r="D14" s="375" t="s">
        <v>315</v>
      </c>
      <c r="E14" s="118" t="s">
        <v>315</v>
      </c>
      <c r="F14" s="376" t="s">
        <v>408</v>
      </c>
      <c r="G14" s="175" t="s">
        <v>409</v>
      </c>
      <c r="H14" s="96"/>
      <c r="I14" s="96"/>
      <c r="J14" s="116"/>
      <c r="K14" s="116"/>
      <c r="L14" s="28"/>
      <c r="M14" s="18"/>
      <c r="N14" s="31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28" x14ac:dyDescent="0.25">
      <c r="A15" s="25"/>
      <c r="B15" s="115"/>
      <c r="C15" s="120" t="s">
        <v>282</v>
      </c>
      <c r="D15" s="377" t="s">
        <v>405</v>
      </c>
      <c r="E15" s="121" t="s">
        <v>75</v>
      </c>
      <c r="F15" s="378" t="s">
        <v>75</v>
      </c>
      <c r="G15" s="96"/>
      <c r="H15" s="96"/>
      <c r="I15" s="96"/>
      <c r="J15" s="96"/>
      <c r="K15" s="96"/>
      <c r="L15" s="28"/>
      <c r="M15" s="18"/>
      <c r="N15" s="31"/>
      <c r="O15"/>
      <c r="P15"/>
      <c r="Q15"/>
      <c r="R15"/>
      <c r="S15"/>
      <c r="T15"/>
      <c r="U15"/>
      <c r="V15"/>
      <c r="W15"/>
      <c r="X15"/>
      <c r="Y15"/>
      <c r="Z15"/>
      <c r="AA15"/>
      <c r="AB15"/>
    </row>
    <row r="16" spans="1:28" x14ac:dyDescent="0.25">
      <c r="A16" s="25"/>
      <c r="B16" s="115"/>
      <c r="C16" s="125">
        <v>2019</v>
      </c>
      <c r="D16" s="97">
        <v>0</v>
      </c>
      <c r="E16" s="98">
        <v>0</v>
      </c>
      <c r="F16" s="99">
        <v>0</v>
      </c>
      <c r="G16" s="96"/>
      <c r="H16" s="96"/>
      <c r="I16" s="96"/>
      <c r="J16" s="96"/>
      <c r="K16" s="96"/>
      <c r="L16" s="28"/>
      <c r="M16" s="18"/>
      <c r="N16" s="31"/>
      <c r="O16"/>
      <c r="P16"/>
      <c r="Q16"/>
      <c r="R16"/>
      <c r="S16"/>
      <c r="T16"/>
      <c r="U16"/>
      <c r="V16"/>
      <c r="W16"/>
      <c r="X16"/>
      <c r="Y16"/>
      <c r="Z16"/>
      <c r="AA16"/>
      <c r="AB16"/>
    </row>
    <row r="17" spans="1:28" x14ac:dyDescent="0.25">
      <c r="A17" s="25"/>
      <c r="B17" s="115"/>
      <c r="C17" s="125">
        <v>2020</v>
      </c>
      <c r="D17" s="97">
        <v>58000</v>
      </c>
      <c r="E17" s="98">
        <v>433000</v>
      </c>
      <c r="F17" s="99">
        <v>540000</v>
      </c>
      <c r="G17" s="96"/>
      <c r="H17" s="96"/>
      <c r="I17" s="96"/>
      <c r="J17" s="96"/>
      <c r="K17" s="96"/>
      <c r="L17" s="28"/>
      <c r="M17" s="18"/>
      <c r="N17" s="31"/>
      <c r="O17"/>
      <c r="P17"/>
      <c r="Q17"/>
      <c r="R17"/>
      <c r="S17"/>
      <c r="T17"/>
      <c r="U17"/>
      <c r="V17"/>
      <c r="W17"/>
      <c r="X17"/>
      <c r="Y17"/>
      <c r="Z17"/>
      <c r="AA17"/>
      <c r="AB17"/>
    </row>
    <row r="18" spans="1:28" ht="15" customHeight="1" x14ac:dyDescent="0.25">
      <c r="A18" s="25"/>
      <c r="B18" s="115"/>
      <c r="C18" s="125">
        <v>2021</v>
      </c>
      <c r="D18" s="97">
        <v>42000</v>
      </c>
      <c r="E18" s="98">
        <v>350000</v>
      </c>
      <c r="F18" s="99">
        <v>460000</v>
      </c>
      <c r="G18" s="96"/>
      <c r="H18" s="96"/>
      <c r="I18" s="96"/>
      <c r="J18" s="96"/>
      <c r="K18" s="96"/>
      <c r="L18" s="28"/>
      <c r="M18" s="18"/>
      <c r="N18" s="31"/>
      <c r="O18"/>
      <c r="P18"/>
      <c r="Q18"/>
      <c r="R18"/>
      <c r="S18"/>
      <c r="T18"/>
      <c r="U18"/>
      <c r="V18"/>
      <c r="W18"/>
      <c r="X18"/>
      <c r="Y18"/>
      <c r="Z18"/>
      <c r="AA18"/>
      <c r="AB18"/>
    </row>
    <row r="19" spans="1:28" ht="15" customHeight="1" x14ac:dyDescent="0.25">
      <c r="A19" s="25"/>
      <c r="B19" s="115"/>
      <c r="C19" s="125">
        <v>2022</v>
      </c>
      <c r="D19" s="97">
        <v>40000</v>
      </c>
      <c r="E19" s="98">
        <v>354000</v>
      </c>
      <c r="F19" s="99">
        <v>480000</v>
      </c>
      <c r="G19" s="96"/>
      <c r="H19" s="96"/>
      <c r="I19" s="96"/>
      <c r="J19" s="96"/>
      <c r="K19" s="96"/>
      <c r="L19" s="28"/>
      <c r="M19" s="18"/>
      <c r="N19" s="31"/>
      <c r="O19"/>
      <c r="P19"/>
      <c r="Q19"/>
      <c r="R19"/>
      <c r="S19"/>
      <c r="T19"/>
      <c r="U19"/>
      <c r="V19"/>
      <c r="W19"/>
      <c r="X19"/>
      <c r="Y19"/>
      <c r="Z19"/>
      <c r="AA19"/>
      <c r="AB19"/>
    </row>
    <row r="20" spans="1:28" ht="15" customHeight="1" x14ac:dyDescent="0.25">
      <c r="A20" s="25"/>
      <c r="B20" s="115"/>
      <c r="C20" s="129">
        <v>2023</v>
      </c>
      <c r="D20" s="104">
        <v>42000</v>
      </c>
      <c r="E20" s="105">
        <v>441000</v>
      </c>
      <c r="F20" s="106">
        <v>430000</v>
      </c>
      <c r="G20" s="96"/>
      <c r="H20" s="96"/>
      <c r="I20" s="96"/>
      <c r="J20" s="96"/>
      <c r="K20" s="96"/>
      <c r="L20" s="28"/>
      <c r="M20" s="18"/>
      <c r="N20" s="31"/>
      <c r="O20"/>
      <c r="P20"/>
      <c r="Q20"/>
      <c r="R20"/>
      <c r="S20"/>
      <c r="T20"/>
      <c r="U20"/>
      <c r="V20"/>
      <c r="W20"/>
      <c r="X20"/>
      <c r="Y20"/>
      <c r="Z20"/>
      <c r="AA20"/>
      <c r="AB20"/>
    </row>
    <row r="21" spans="1:28" ht="15" customHeight="1" x14ac:dyDescent="0.25">
      <c r="A21" s="25"/>
      <c r="B21" s="96"/>
      <c r="C21" s="96"/>
      <c r="D21" s="96"/>
      <c r="E21" s="96"/>
      <c r="F21" s="96"/>
      <c r="G21" s="96"/>
      <c r="H21" s="96"/>
      <c r="I21" s="96"/>
      <c r="J21" s="96"/>
      <c r="K21" s="96"/>
      <c r="L21" s="28"/>
      <c r="M21" s="18"/>
      <c r="N21" s="31"/>
      <c r="O21"/>
      <c r="P21"/>
      <c r="Q21"/>
      <c r="R21"/>
      <c r="S21"/>
      <c r="T21"/>
      <c r="U21"/>
      <c r="V21"/>
      <c r="W21"/>
      <c r="X21"/>
      <c r="Y21"/>
      <c r="Z21"/>
      <c r="AA21"/>
      <c r="AB21"/>
    </row>
    <row r="22" spans="1:28" ht="15" customHeight="1" x14ac:dyDescent="0.25">
      <c r="A22" s="25"/>
      <c r="B22" s="96"/>
      <c r="C22" s="123">
        <v>174000</v>
      </c>
      <c r="D22" s="93" t="s">
        <v>410</v>
      </c>
      <c r="E22" s="93"/>
      <c r="F22" s="93"/>
      <c r="G22" s="93"/>
      <c r="H22" s="93"/>
      <c r="I22" s="93"/>
      <c r="J22" s="94"/>
      <c r="K22" s="96"/>
      <c r="L22" s="28"/>
      <c r="M22" s="18"/>
      <c r="N22" s="31"/>
      <c r="O22"/>
      <c r="P22"/>
      <c r="Q22"/>
      <c r="R22"/>
      <c r="S22"/>
      <c r="T22"/>
      <c r="U22"/>
      <c r="V22"/>
      <c r="W22"/>
      <c r="X22"/>
      <c r="Y22"/>
      <c r="Z22"/>
      <c r="AA22"/>
      <c r="AB22"/>
    </row>
    <row r="23" spans="1:28" ht="15" customHeight="1" x14ac:dyDescent="0.25">
      <c r="A23" s="25"/>
      <c r="B23" s="96"/>
      <c r="C23" s="126">
        <v>51000</v>
      </c>
      <c r="D23" s="98" t="s">
        <v>411</v>
      </c>
      <c r="E23" s="98"/>
      <c r="F23" s="98"/>
      <c r="G23" s="98"/>
      <c r="H23" s="98"/>
      <c r="I23" s="98"/>
      <c r="J23" s="99"/>
      <c r="K23" s="96"/>
      <c r="L23" s="28"/>
      <c r="M23" s="18"/>
      <c r="N23" s="31"/>
      <c r="O23"/>
      <c r="P23"/>
      <c r="Q23"/>
      <c r="R23"/>
      <c r="S23"/>
      <c r="T23"/>
      <c r="U23"/>
      <c r="V23"/>
      <c r="W23"/>
      <c r="X23"/>
      <c r="Y23"/>
      <c r="Z23"/>
      <c r="AA23"/>
      <c r="AB23"/>
    </row>
    <row r="24" spans="1:28" ht="15" customHeight="1" x14ac:dyDescent="0.25">
      <c r="A24" s="25"/>
      <c r="B24" s="96"/>
      <c r="C24" s="379">
        <v>0.43</v>
      </c>
      <c r="D24" s="105" t="s">
        <v>412</v>
      </c>
      <c r="E24" s="105"/>
      <c r="F24" s="105"/>
      <c r="G24" s="105"/>
      <c r="H24" s="105"/>
      <c r="I24" s="105"/>
      <c r="J24" s="106"/>
      <c r="K24" s="96"/>
      <c r="L24" s="28"/>
      <c r="M24" s="18"/>
      <c r="N24" s="31"/>
      <c r="O24"/>
      <c r="P24"/>
      <c r="Q24"/>
      <c r="R24"/>
      <c r="S24"/>
      <c r="T24"/>
      <c r="U24"/>
      <c r="V24"/>
      <c r="W24"/>
      <c r="X24"/>
      <c r="Y24"/>
      <c r="Z24"/>
      <c r="AA24"/>
      <c r="AB24"/>
    </row>
    <row r="25" spans="1:28" ht="15" customHeight="1" x14ac:dyDescent="0.25">
      <c r="A25" s="25"/>
      <c r="B25" s="96"/>
      <c r="C25" s="96"/>
      <c r="D25" s="96"/>
      <c r="E25" s="96"/>
      <c r="F25" s="96"/>
      <c r="G25" s="96"/>
      <c r="H25" s="96"/>
      <c r="I25" s="96"/>
      <c r="J25" s="96"/>
      <c r="K25" s="96"/>
      <c r="L25" s="28"/>
      <c r="M25" s="18"/>
      <c r="N25" s="31"/>
      <c r="O25"/>
      <c r="P25"/>
      <c r="Q25"/>
      <c r="R25"/>
      <c r="S25"/>
      <c r="T25"/>
      <c r="U25"/>
      <c r="V25"/>
      <c r="W25"/>
      <c r="X25"/>
      <c r="Y25"/>
      <c r="Z25"/>
      <c r="AA25"/>
      <c r="AB25"/>
    </row>
    <row r="26" spans="1:28" ht="15" customHeight="1" x14ac:dyDescent="0.25">
      <c r="A26" s="25"/>
      <c r="B26" s="96"/>
      <c r="C26" s="380">
        <v>0.6</v>
      </c>
      <c r="D26" s="93" t="s">
        <v>413</v>
      </c>
      <c r="E26" s="93"/>
      <c r="F26" s="93"/>
      <c r="G26" s="93"/>
      <c r="H26" s="93"/>
      <c r="I26" s="93"/>
      <c r="J26" s="94"/>
      <c r="K26" s="96"/>
      <c r="L26" s="28"/>
      <c r="M26" s="18"/>
      <c r="N26" s="31"/>
      <c r="O26"/>
      <c r="P26"/>
      <c r="Q26"/>
      <c r="R26"/>
      <c r="S26"/>
      <c r="T26"/>
      <c r="U26"/>
      <c r="V26"/>
      <c r="W26"/>
      <c r="X26"/>
      <c r="Y26"/>
      <c r="Z26"/>
      <c r="AA26"/>
      <c r="AB26"/>
    </row>
    <row r="27" spans="1:28" ht="15" customHeight="1" x14ac:dyDescent="0.25">
      <c r="A27" s="25"/>
      <c r="B27" s="96"/>
      <c r="C27" s="379">
        <v>0.4</v>
      </c>
      <c r="D27" s="105" t="s">
        <v>414</v>
      </c>
      <c r="E27" s="105"/>
      <c r="F27" s="105"/>
      <c r="G27" s="105"/>
      <c r="H27" s="105"/>
      <c r="I27" s="105"/>
      <c r="J27" s="106"/>
      <c r="K27" s="96"/>
      <c r="L27" s="28"/>
      <c r="M27" s="18"/>
      <c r="N27" s="31"/>
      <c r="O27"/>
      <c r="P27"/>
      <c r="Q27"/>
      <c r="R27"/>
      <c r="S27"/>
      <c r="T27"/>
      <c r="U27"/>
      <c r="V27"/>
      <c r="W27"/>
      <c r="X27"/>
      <c r="Y27"/>
      <c r="Z27"/>
      <c r="AA27"/>
      <c r="AB27"/>
    </row>
    <row r="28" spans="1:28" ht="15" customHeight="1" x14ac:dyDescent="0.25">
      <c r="A28" s="25"/>
      <c r="B28" s="17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18"/>
      <c r="N28" s="31"/>
      <c r="O28"/>
      <c r="P28"/>
      <c r="Q28"/>
      <c r="R28"/>
      <c r="S28"/>
      <c r="T28"/>
      <c r="U28"/>
      <c r="V28"/>
      <c r="W28"/>
      <c r="X28"/>
      <c r="Y28"/>
      <c r="Z28"/>
      <c r="AA28"/>
      <c r="AB28"/>
    </row>
    <row r="29" spans="1:28" ht="15" customHeight="1" x14ac:dyDescent="0.25">
      <c r="A29" s="25"/>
      <c r="B29" s="17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18"/>
      <c r="N29" s="31"/>
      <c r="O29"/>
      <c r="P29"/>
      <c r="Q29"/>
      <c r="R29"/>
      <c r="S29"/>
      <c r="T29"/>
      <c r="U29"/>
      <c r="V29"/>
      <c r="W29"/>
      <c r="X29"/>
      <c r="Y29"/>
      <c r="Z29"/>
      <c r="AA29"/>
      <c r="AB29"/>
    </row>
    <row r="30" spans="1:28" ht="15" customHeight="1" thickBot="1" x14ac:dyDescent="0.3">
      <c r="A30" s="24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3"/>
      <c r="N30" s="31"/>
      <c r="O30"/>
      <c r="P30"/>
      <c r="Q30"/>
      <c r="R30"/>
      <c r="S30"/>
      <c r="T30"/>
      <c r="U30"/>
      <c r="V30"/>
      <c r="W30"/>
      <c r="X30"/>
      <c r="Y30"/>
      <c r="Z30"/>
      <c r="AA30"/>
      <c r="AB30"/>
    </row>
    <row r="31" spans="1:28" ht="15" customHeight="1" x14ac:dyDescent="0.25"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/>
      <c r="P31"/>
      <c r="Q31"/>
      <c r="R31"/>
      <c r="S31"/>
      <c r="T31"/>
      <c r="U31"/>
      <c r="V31"/>
      <c r="W31"/>
      <c r="X31"/>
      <c r="Y31"/>
      <c r="Z31"/>
      <c r="AA31"/>
      <c r="AB31"/>
    </row>
    <row r="32" spans="1:28" ht="15" customHeight="1" x14ac:dyDescent="0.25">
      <c r="N32" s="31"/>
      <c r="O32"/>
      <c r="P32"/>
      <c r="Q32"/>
      <c r="R32"/>
      <c r="S32"/>
      <c r="T32"/>
      <c r="U32"/>
      <c r="V32"/>
      <c r="W32"/>
      <c r="X32"/>
      <c r="Y32"/>
      <c r="Z32"/>
      <c r="AA32"/>
      <c r="AB32"/>
    </row>
    <row r="33" spans="2:28" ht="15" customHeight="1" x14ac:dyDescent="0.25">
      <c r="N33" s="31"/>
      <c r="O33"/>
      <c r="P33"/>
      <c r="Q33"/>
      <c r="R33"/>
      <c r="S33"/>
      <c r="T33"/>
      <c r="U33"/>
      <c r="V33"/>
      <c r="W33"/>
      <c r="X33"/>
      <c r="Y33"/>
      <c r="Z33"/>
      <c r="AA33"/>
      <c r="AB33"/>
    </row>
    <row r="34" spans="2:28" ht="15" customHeight="1" x14ac:dyDescent="0.25">
      <c r="N34" s="31"/>
      <c r="O34"/>
      <c r="P34"/>
      <c r="Q34"/>
      <c r="R34"/>
      <c r="S34"/>
      <c r="T34"/>
      <c r="U34"/>
      <c r="V34"/>
      <c r="W34"/>
      <c r="X34"/>
      <c r="Y34"/>
      <c r="Z34"/>
      <c r="AA34"/>
      <c r="AB34"/>
    </row>
    <row r="35" spans="2:28" ht="15" customHeight="1" x14ac:dyDescent="0.25">
      <c r="N35" s="31"/>
      <c r="O35"/>
      <c r="P35"/>
      <c r="Q35"/>
      <c r="R35"/>
      <c r="S35"/>
      <c r="T35"/>
      <c r="U35"/>
      <c r="V35"/>
      <c r="W35"/>
      <c r="X35"/>
      <c r="Y35"/>
      <c r="Z35"/>
      <c r="AA35"/>
      <c r="AB35"/>
    </row>
    <row r="36" spans="2:28" ht="15" customHeight="1" x14ac:dyDescent="0.25">
      <c r="N36" s="31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2:28" ht="15" customHeight="1" x14ac:dyDescent="0.25">
      <c r="N37" s="31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2:28" ht="15" customHeight="1" x14ac:dyDescent="0.25">
      <c r="N38" s="31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2:28" ht="15" customHeight="1" x14ac:dyDescent="0.25">
      <c r="N39" s="31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2:28" ht="15" customHeight="1" x14ac:dyDescent="0.25">
      <c r="N40" s="31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2:28" ht="15" customHeight="1" x14ac:dyDescent="0.25">
      <c r="N41" s="3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2:28" ht="15" customHeight="1" x14ac:dyDescent="0.25">
      <c r="N42" s="31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2:28" ht="15" customHeight="1" x14ac:dyDescent="0.25">
      <c r="N43" s="31"/>
      <c r="O43"/>
      <c r="P43"/>
      <c r="Q43"/>
      <c r="R43"/>
      <c r="S43"/>
      <c r="T43"/>
      <c r="U43"/>
      <c r="V43"/>
      <c r="W43"/>
      <c r="X43"/>
      <c r="Y43"/>
      <c r="Z43"/>
      <c r="AA43"/>
      <c r="AB43"/>
    </row>
    <row r="44" spans="2:28" ht="15" customHeight="1" x14ac:dyDescent="0.25">
      <c r="N44" s="31"/>
      <c r="O44"/>
      <c r="P44"/>
      <c r="Q44"/>
      <c r="R44"/>
      <c r="S44"/>
      <c r="T44"/>
      <c r="U44"/>
      <c r="V44"/>
      <c r="W44"/>
      <c r="X44"/>
      <c r="Y44"/>
      <c r="Z44"/>
      <c r="AA44"/>
      <c r="AB44"/>
    </row>
    <row r="45" spans="2:28" ht="15" customHeight="1" x14ac:dyDescent="0.25">
      <c r="N45" s="31"/>
      <c r="O45"/>
      <c r="P45"/>
      <c r="Q45"/>
      <c r="R45"/>
      <c r="S45"/>
      <c r="T45"/>
      <c r="U45"/>
      <c r="V45"/>
      <c r="W45"/>
      <c r="X45"/>
      <c r="Y45"/>
      <c r="Z45"/>
      <c r="AA45"/>
      <c r="AB45"/>
    </row>
    <row r="46" spans="2:28" ht="15" customHeight="1" x14ac:dyDescent="0.25"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/>
      <c r="P46"/>
      <c r="Q46"/>
      <c r="R46"/>
      <c r="S46"/>
      <c r="T46"/>
      <c r="U46"/>
      <c r="V46"/>
      <c r="W46"/>
      <c r="X46"/>
      <c r="Y46"/>
      <c r="Z46"/>
      <c r="AA46"/>
      <c r="AB46"/>
    </row>
    <row r="47" spans="2:28" ht="15" customHeight="1" x14ac:dyDescent="0.25"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/>
      <c r="P47"/>
      <c r="Q47"/>
      <c r="R47"/>
      <c r="S47"/>
      <c r="T47"/>
      <c r="U47"/>
      <c r="V47"/>
      <c r="W47"/>
      <c r="X47"/>
      <c r="Y47"/>
      <c r="Z47"/>
      <c r="AA47"/>
      <c r="AB47"/>
    </row>
    <row r="48" spans="2:28" ht="15" customHeight="1" x14ac:dyDescent="0.25"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/>
      <c r="P48"/>
      <c r="Q48"/>
      <c r="R48"/>
      <c r="S48"/>
      <c r="T48"/>
      <c r="U48"/>
      <c r="V48"/>
      <c r="W48"/>
      <c r="X48"/>
      <c r="Y48"/>
      <c r="Z48"/>
      <c r="AA48"/>
      <c r="AB48"/>
    </row>
    <row r="49" spans="2:28" ht="15" customHeight="1" x14ac:dyDescent="0.25"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/>
      <c r="P49"/>
      <c r="Q49"/>
      <c r="R49"/>
      <c r="S49"/>
      <c r="T49"/>
      <c r="U49"/>
      <c r="V49"/>
      <c r="W49"/>
      <c r="X49"/>
      <c r="Y49"/>
      <c r="Z49"/>
      <c r="AA49"/>
      <c r="AB49"/>
    </row>
    <row r="50" spans="2:28" ht="15" customHeight="1" x14ac:dyDescent="0.25"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/>
      <c r="P50"/>
      <c r="Q50"/>
      <c r="R50"/>
      <c r="S50"/>
      <c r="T50"/>
      <c r="U50"/>
      <c r="V50"/>
      <c r="W50"/>
      <c r="X50"/>
      <c r="Y50"/>
      <c r="Z50"/>
      <c r="AA50"/>
      <c r="AB50"/>
    </row>
    <row r="51" spans="2:28" ht="15" customHeight="1" x14ac:dyDescent="0.25"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/>
      <c r="P51"/>
      <c r="Q51"/>
      <c r="R51"/>
      <c r="S51"/>
      <c r="T51"/>
      <c r="U51"/>
      <c r="V51"/>
      <c r="W51"/>
      <c r="X51"/>
      <c r="Y51"/>
      <c r="Z51"/>
      <c r="AA51"/>
      <c r="AB51"/>
    </row>
    <row r="52" spans="2:28" ht="15" customHeight="1" x14ac:dyDescent="0.25"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/>
      <c r="P52"/>
      <c r="Q52"/>
      <c r="R52"/>
      <c r="S52"/>
      <c r="T52"/>
      <c r="U52"/>
      <c r="V52"/>
      <c r="W52"/>
      <c r="X52"/>
      <c r="Y52"/>
      <c r="Z52"/>
      <c r="AA52"/>
      <c r="AB52"/>
    </row>
    <row r="53" spans="2:28" ht="15" customHeight="1" x14ac:dyDescent="0.25"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/>
      <c r="P53"/>
      <c r="Q53"/>
      <c r="R53"/>
      <c r="S53"/>
      <c r="T53"/>
      <c r="U53"/>
      <c r="V53"/>
      <c r="W53"/>
      <c r="X53"/>
      <c r="Y53"/>
      <c r="Z53"/>
      <c r="AA53"/>
      <c r="AB53"/>
    </row>
    <row r="54" spans="2:28" ht="15" customHeight="1" x14ac:dyDescent="0.25"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/>
      <c r="P54"/>
      <c r="Q54"/>
      <c r="R54"/>
      <c r="S54"/>
      <c r="T54"/>
      <c r="U54"/>
      <c r="V54"/>
      <c r="W54"/>
      <c r="X54"/>
      <c r="Y54"/>
      <c r="Z54"/>
      <c r="AA54"/>
      <c r="AB54"/>
    </row>
    <row r="55" spans="2:28" ht="15" customHeight="1" x14ac:dyDescent="0.25"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/>
      <c r="P55"/>
      <c r="Q55"/>
      <c r="R55"/>
      <c r="S55"/>
      <c r="T55"/>
      <c r="U55"/>
      <c r="V55"/>
      <c r="W55"/>
      <c r="X55"/>
      <c r="Y55"/>
      <c r="Z55"/>
      <c r="AA55"/>
      <c r="AB55"/>
    </row>
    <row r="56" spans="2:28" ht="15" customHeight="1" x14ac:dyDescent="0.25"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/>
      <c r="P56"/>
      <c r="Q56"/>
      <c r="R56"/>
      <c r="S56"/>
      <c r="T56"/>
      <c r="U56"/>
      <c r="V56"/>
      <c r="W56"/>
      <c r="X56"/>
      <c r="Y56"/>
      <c r="Z56"/>
      <c r="AA56"/>
      <c r="AB56"/>
    </row>
    <row r="57" spans="2:28" ht="15" customHeight="1" x14ac:dyDescent="0.25"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/>
      <c r="P57"/>
      <c r="Q57"/>
      <c r="R57"/>
      <c r="S57"/>
      <c r="T57"/>
      <c r="U57"/>
      <c r="V57"/>
      <c r="W57"/>
      <c r="X57"/>
      <c r="Y57"/>
      <c r="Z57"/>
      <c r="AA57"/>
      <c r="AB57"/>
    </row>
    <row r="58" spans="2:28" ht="15" customHeight="1" x14ac:dyDescent="0.25"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/>
      <c r="P58"/>
      <c r="Q58"/>
      <c r="R58"/>
      <c r="S58"/>
      <c r="T58"/>
      <c r="U58"/>
      <c r="V58"/>
      <c r="W58"/>
      <c r="X58"/>
      <c r="Y58"/>
      <c r="Z58"/>
      <c r="AA58"/>
      <c r="AB58"/>
    </row>
    <row r="59" spans="2:28" ht="15" customHeight="1" x14ac:dyDescent="0.25"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/>
      <c r="P59"/>
      <c r="Q59"/>
      <c r="R59"/>
      <c r="S59"/>
      <c r="T59"/>
      <c r="U59"/>
      <c r="V59"/>
      <c r="W59"/>
      <c r="X59"/>
      <c r="Y59"/>
      <c r="Z59"/>
      <c r="AA59"/>
      <c r="AB59"/>
    </row>
    <row r="60" spans="2:28" ht="15" customHeight="1" x14ac:dyDescent="0.25"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/>
      <c r="P60"/>
      <c r="Q60"/>
      <c r="R60"/>
      <c r="S60"/>
      <c r="T60"/>
      <c r="U60"/>
      <c r="V60"/>
      <c r="W60"/>
      <c r="X60"/>
      <c r="Y60"/>
      <c r="Z60"/>
      <c r="AA60"/>
      <c r="AB60"/>
    </row>
    <row r="61" spans="2:28" ht="15" customHeight="1" x14ac:dyDescent="0.25"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/>
      <c r="P61"/>
      <c r="Q61"/>
      <c r="R61"/>
      <c r="S61"/>
      <c r="T61"/>
      <c r="U61"/>
      <c r="V61"/>
      <c r="W61"/>
      <c r="X61"/>
      <c r="Y61"/>
      <c r="Z61"/>
      <c r="AA61"/>
      <c r="AB61"/>
    </row>
    <row r="62" spans="2:28" ht="15" customHeight="1" x14ac:dyDescent="0.25"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/>
      <c r="P62"/>
      <c r="Q62"/>
      <c r="R62"/>
      <c r="S62"/>
      <c r="T62"/>
      <c r="U62"/>
      <c r="V62"/>
      <c r="W62"/>
      <c r="X62"/>
      <c r="Y62"/>
      <c r="Z62"/>
      <c r="AA62"/>
      <c r="AB62"/>
    </row>
    <row r="63" spans="2:28" ht="15" customHeight="1" x14ac:dyDescent="0.25"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/>
      <c r="P63"/>
      <c r="Q63"/>
      <c r="R63"/>
      <c r="S63"/>
      <c r="T63"/>
      <c r="U63"/>
      <c r="V63"/>
      <c r="W63"/>
      <c r="X63"/>
      <c r="Y63"/>
      <c r="Z63"/>
      <c r="AA63"/>
      <c r="AB63"/>
    </row>
    <row r="64" spans="2:28" ht="15" customHeight="1" x14ac:dyDescent="0.25"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/>
      <c r="P64"/>
      <c r="Q64"/>
      <c r="R64"/>
      <c r="S64"/>
      <c r="T64"/>
      <c r="U64"/>
      <c r="V64"/>
      <c r="W64"/>
      <c r="X64"/>
      <c r="Y64"/>
      <c r="Z64"/>
      <c r="AA64"/>
      <c r="AB64"/>
    </row>
    <row r="65" spans="2:28" ht="15" customHeight="1" x14ac:dyDescent="0.25"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/>
      <c r="P65"/>
      <c r="Q65"/>
      <c r="R65"/>
      <c r="S65"/>
      <c r="T65"/>
      <c r="U65"/>
      <c r="V65"/>
      <c r="W65"/>
      <c r="X65"/>
      <c r="Y65"/>
      <c r="Z65"/>
      <c r="AA65"/>
      <c r="AB65"/>
    </row>
    <row r="66" spans="2:28" ht="15" customHeight="1" x14ac:dyDescent="0.25"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/>
      <c r="P66"/>
      <c r="Q66"/>
      <c r="R66"/>
      <c r="S66"/>
      <c r="T66"/>
      <c r="U66"/>
      <c r="V66"/>
      <c r="W66"/>
      <c r="X66"/>
      <c r="Y66"/>
      <c r="Z66"/>
      <c r="AA66"/>
      <c r="AB66"/>
    </row>
    <row r="67" spans="2:28" ht="15" customHeight="1" x14ac:dyDescent="0.25"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/>
      <c r="P67"/>
      <c r="Q67"/>
      <c r="R67"/>
      <c r="S67"/>
      <c r="T67"/>
      <c r="U67"/>
      <c r="V67"/>
      <c r="W67"/>
      <c r="X67"/>
      <c r="Y67"/>
      <c r="Z67"/>
      <c r="AA67"/>
      <c r="AB67"/>
    </row>
    <row r="68" spans="2:28" ht="15" customHeight="1" x14ac:dyDescent="0.25"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/>
      <c r="P68"/>
      <c r="Q68"/>
      <c r="R68"/>
      <c r="S68"/>
      <c r="T68"/>
      <c r="U68"/>
      <c r="V68"/>
      <c r="W68"/>
      <c r="X68"/>
      <c r="Y68"/>
      <c r="Z68"/>
      <c r="AA68"/>
      <c r="AB68"/>
    </row>
    <row r="69" spans="2:28" ht="15" customHeight="1" x14ac:dyDescent="0.25"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/>
      <c r="P69"/>
      <c r="Q69"/>
      <c r="R69"/>
      <c r="S69"/>
      <c r="T69"/>
      <c r="U69"/>
      <c r="V69"/>
      <c r="W69"/>
      <c r="X69"/>
      <c r="Y69"/>
      <c r="Z69"/>
      <c r="AA69"/>
      <c r="AB69"/>
    </row>
    <row r="70" spans="2:28" ht="15" customHeight="1" x14ac:dyDescent="0.25"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/>
      <c r="P70"/>
      <c r="Q70"/>
      <c r="R70"/>
      <c r="S70"/>
      <c r="T70"/>
      <c r="U70"/>
      <c r="V70"/>
      <c r="W70"/>
      <c r="X70"/>
      <c r="Y70"/>
      <c r="Z70"/>
      <c r="AA70"/>
      <c r="AB70"/>
    </row>
    <row r="71" spans="2:28" ht="15" customHeight="1" x14ac:dyDescent="0.25"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/>
      <c r="P71"/>
      <c r="Q71"/>
      <c r="R71"/>
      <c r="S71"/>
      <c r="T71"/>
      <c r="U71"/>
      <c r="V71"/>
      <c r="W71"/>
      <c r="X71"/>
      <c r="Y71"/>
      <c r="Z71"/>
      <c r="AA71"/>
      <c r="AB71"/>
    </row>
    <row r="72" spans="2:28" ht="15" customHeight="1" x14ac:dyDescent="0.25"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/>
      <c r="P72"/>
      <c r="Q72"/>
      <c r="R72"/>
      <c r="S72"/>
      <c r="T72"/>
      <c r="U72"/>
      <c r="V72"/>
      <c r="W72"/>
      <c r="X72"/>
      <c r="Y72"/>
      <c r="Z72"/>
      <c r="AA72"/>
      <c r="AB72"/>
    </row>
    <row r="73" spans="2:28" ht="15" customHeight="1" x14ac:dyDescent="0.25"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/>
      <c r="P73"/>
      <c r="Q73"/>
      <c r="R73"/>
      <c r="S73"/>
      <c r="T73"/>
      <c r="U73"/>
      <c r="V73"/>
      <c r="W73"/>
      <c r="X73"/>
      <c r="Y73"/>
      <c r="Z73"/>
      <c r="AA73"/>
      <c r="AB73"/>
    </row>
    <row r="74" spans="2:28" ht="15" customHeight="1" x14ac:dyDescent="0.25"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/>
      <c r="P74"/>
      <c r="Q74"/>
      <c r="R74"/>
      <c r="S74"/>
      <c r="T74"/>
      <c r="U74"/>
      <c r="V74"/>
      <c r="W74"/>
      <c r="X74"/>
      <c r="Y74"/>
      <c r="Z74"/>
      <c r="AA74"/>
      <c r="AB74"/>
    </row>
    <row r="75" spans="2:28" ht="15" customHeight="1" x14ac:dyDescent="0.25"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/>
      <c r="P75"/>
      <c r="Q75"/>
      <c r="R75"/>
      <c r="S75"/>
      <c r="T75"/>
      <c r="U75"/>
      <c r="V75"/>
      <c r="W75"/>
      <c r="X75"/>
      <c r="Y75"/>
      <c r="Z75"/>
      <c r="AA75"/>
      <c r="AB75"/>
    </row>
    <row r="76" spans="2:28" ht="15" customHeight="1" x14ac:dyDescent="0.25"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/>
      <c r="P76"/>
      <c r="Q76"/>
      <c r="R76"/>
      <c r="S76"/>
      <c r="T76"/>
      <c r="U76"/>
      <c r="V76"/>
      <c r="W76"/>
      <c r="X76"/>
      <c r="Y76"/>
      <c r="Z76"/>
      <c r="AA76"/>
      <c r="AB76"/>
    </row>
    <row r="77" spans="2:28" ht="15" customHeight="1" x14ac:dyDescent="0.25"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/>
      <c r="P77"/>
      <c r="Q77"/>
      <c r="R77"/>
      <c r="S77"/>
      <c r="T77"/>
      <c r="U77"/>
      <c r="V77"/>
      <c r="W77"/>
      <c r="X77"/>
      <c r="Y77"/>
      <c r="Z77"/>
      <c r="AA77"/>
      <c r="AB77"/>
    </row>
    <row r="78" spans="2:28" ht="15" customHeight="1" x14ac:dyDescent="0.25"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/>
      <c r="P78"/>
      <c r="Q78"/>
      <c r="R78"/>
      <c r="S78"/>
      <c r="T78"/>
      <c r="U78"/>
      <c r="V78"/>
      <c r="W78"/>
      <c r="X78"/>
      <c r="Y78"/>
      <c r="Z78"/>
      <c r="AA78"/>
      <c r="AB78"/>
    </row>
    <row r="79" spans="2:28" ht="15" customHeight="1" x14ac:dyDescent="0.25"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/>
      <c r="P79"/>
      <c r="Q79"/>
      <c r="R79"/>
      <c r="S79"/>
      <c r="T79"/>
      <c r="U79"/>
      <c r="V79"/>
      <c r="W79"/>
      <c r="X79"/>
      <c r="Y79"/>
      <c r="Z79"/>
      <c r="AA79"/>
      <c r="AB79"/>
    </row>
    <row r="80" spans="2:28" ht="15" customHeight="1" x14ac:dyDescent="0.25"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/>
      <c r="P80"/>
      <c r="Q80"/>
      <c r="R80"/>
      <c r="S80"/>
      <c r="T80"/>
      <c r="U80"/>
      <c r="V80"/>
      <c r="W80"/>
      <c r="X80"/>
      <c r="Y80"/>
      <c r="Z80"/>
      <c r="AA80"/>
      <c r="AB80"/>
    </row>
    <row r="81" spans="2:28" ht="15" customHeight="1" x14ac:dyDescent="0.25"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/>
      <c r="P81"/>
      <c r="Q81"/>
      <c r="R81"/>
      <c r="S81"/>
      <c r="T81"/>
      <c r="U81"/>
      <c r="V81"/>
      <c r="W81"/>
      <c r="X81"/>
      <c r="Y81"/>
      <c r="Z81"/>
      <c r="AA81"/>
      <c r="AB81"/>
    </row>
    <row r="82" spans="2:28" ht="15" customHeight="1" x14ac:dyDescent="0.25"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/>
      <c r="P82"/>
      <c r="Q82"/>
      <c r="R82"/>
      <c r="S82"/>
      <c r="T82"/>
      <c r="U82"/>
      <c r="V82"/>
      <c r="W82"/>
      <c r="X82"/>
      <c r="Y82"/>
      <c r="Z82"/>
      <c r="AA82"/>
      <c r="AB82"/>
    </row>
    <row r="83" spans="2:28" ht="15" customHeight="1" x14ac:dyDescent="0.25"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/>
      <c r="P83"/>
      <c r="Q83"/>
      <c r="R83"/>
      <c r="S83"/>
      <c r="T83"/>
      <c r="U83"/>
      <c r="V83"/>
      <c r="W83"/>
      <c r="X83"/>
      <c r="Y83"/>
      <c r="Z83"/>
      <c r="AA83"/>
      <c r="AB83"/>
    </row>
    <row r="84" spans="2:28" ht="15" customHeight="1" x14ac:dyDescent="0.25"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/>
      <c r="P84"/>
      <c r="Q84"/>
      <c r="R84"/>
      <c r="S84"/>
      <c r="T84"/>
      <c r="U84"/>
      <c r="V84"/>
      <c r="W84"/>
      <c r="X84"/>
      <c r="Y84"/>
      <c r="Z84"/>
      <c r="AA84"/>
      <c r="AB84"/>
    </row>
    <row r="85" spans="2:28" ht="15" customHeight="1" x14ac:dyDescent="0.25"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/>
      <c r="P85"/>
      <c r="Q85"/>
      <c r="R85"/>
      <c r="S85"/>
      <c r="T85"/>
      <c r="U85"/>
      <c r="V85"/>
      <c r="W85"/>
      <c r="X85"/>
      <c r="Y85"/>
      <c r="Z85"/>
      <c r="AA85"/>
      <c r="AB85"/>
    </row>
    <row r="86" spans="2:28" ht="15" customHeight="1" x14ac:dyDescent="0.25"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/>
      <c r="P86"/>
      <c r="Q86"/>
      <c r="R86"/>
      <c r="S86"/>
      <c r="T86"/>
      <c r="U86"/>
      <c r="V86"/>
      <c r="W86"/>
      <c r="X86"/>
      <c r="Y86"/>
      <c r="Z86"/>
      <c r="AA86"/>
      <c r="AB86"/>
    </row>
    <row r="87" spans="2:28" ht="15" customHeight="1" x14ac:dyDescent="0.25"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/>
      <c r="P87"/>
      <c r="Q87"/>
      <c r="R87"/>
      <c r="S87"/>
      <c r="T87"/>
      <c r="U87"/>
      <c r="V87"/>
      <c r="W87"/>
      <c r="X87"/>
      <c r="Y87"/>
      <c r="Z87"/>
      <c r="AA87"/>
      <c r="AB87"/>
    </row>
    <row r="88" spans="2:28" ht="15" customHeight="1" x14ac:dyDescent="0.25"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/>
      <c r="P88"/>
      <c r="Q88"/>
      <c r="R88"/>
      <c r="S88"/>
      <c r="T88"/>
      <c r="U88"/>
      <c r="V88"/>
      <c r="W88"/>
      <c r="X88"/>
      <c r="Y88"/>
      <c r="Z88"/>
      <c r="AA88"/>
      <c r="AB88"/>
    </row>
    <row r="89" spans="2:28" ht="15" customHeight="1" x14ac:dyDescent="0.25"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/>
      <c r="P89"/>
      <c r="Q89"/>
      <c r="R89"/>
      <c r="S89"/>
      <c r="T89"/>
      <c r="U89"/>
      <c r="V89"/>
      <c r="W89"/>
      <c r="X89"/>
      <c r="Y89"/>
      <c r="Z89"/>
      <c r="AA89"/>
      <c r="AB89"/>
    </row>
    <row r="90" spans="2:28" ht="15" customHeight="1" x14ac:dyDescent="0.25"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/>
      <c r="P90"/>
      <c r="Q90"/>
      <c r="R90"/>
      <c r="S90"/>
      <c r="T90"/>
      <c r="U90"/>
      <c r="V90"/>
      <c r="W90"/>
      <c r="X90"/>
      <c r="Y90"/>
      <c r="Z90"/>
      <c r="AA90"/>
      <c r="AB90"/>
    </row>
    <row r="91" spans="2:28" ht="15" customHeight="1" x14ac:dyDescent="0.25"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/>
      <c r="P91"/>
      <c r="Q91"/>
      <c r="R91"/>
      <c r="S91"/>
      <c r="T91"/>
      <c r="U91"/>
      <c r="V91"/>
      <c r="W91"/>
      <c r="X91"/>
      <c r="Y91"/>
      <c r="Z91"/>
      <c r="AA91"/>
      <c r="AB91"/>
    </row>
    <row r="92" spans="2:28" ht="15" customHeight="1" x14ac:dyDescent="0.25"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/>
      <c r="P92"/>
      <c r="Q92"/>
      <c r="R92"/>
      <c r="S92"/>
      <c r="T92"/>
      <c r="U92"/>
      <c r="V92"/>
      <c r="W92"/>
      <c r="X92"/>
      <c r="Y92"/>
      <c r="Z92"/>
      <c r="AA92"/>
      <c r="AB92"/>
    </row>
    <row r="93" spans="2:28" ht="15" customHeight="1" x14ac:dyDescent="0.25"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/>
      <c r="P93"/>
      <c r="Q93"/>
      <c r="R93"/>
      <c r="S93"/>
      <c r="T93"/>
      <c r="U93"/>
      <c r="V93"/>
      <c r="W93"/>
      <c r="X93"/>
      <c r="Y93"/>
      <c r="Z93"/>
      <c r="AA93"/>
      <c r="AB93"/>
    </row>
    <row r="94" spans="2:28" ht="15" customHeight="1" x14ac:dyDescent="0.25"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/>
      <c r="P94"/>
      <c r="Q94"/>
      <c r="R94"/>
      <c r="S94"/>
      <c r="T94"/>
      <c r="U94"/>
      <c r="V94"/>
      <c r="W94"/>
      <c r="X94"/>
      <c r="Y94"/>
      <c r="Z94"/>
      <c r="AA94"/>
      <c r="AB94"/>
    </row>
    <row r="95" spans="2:28" ht="15" customHeight="1" x14ac:dyDescent="0.25"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/>
      <c r="P95"/>
      <c r="Q95"/>
      <c r="R95"/>
      <c r="S95"/>
      <c r="T95"/>
      <c r="U95"/>
      <c r="V95"/>
      <c r="W95"/>
      <c r="X95"/>
      <c r="Y95"/>
      <c r="Z95"/>
      <c r="AA95"/>
      <c r="AB95"/>
    </row>
    <row r="96" spans="2:28" ht="15" customHeight="1" x14ac:dyDescent="0.25"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/>
      <c r="P96"/>
      <c r="Q96"/>
      <c r="R96"/>
      <c r="S96"/>
      <c r="T96"/>
      <c r="U96"/>
      <c r="V96"/>
      <c r="W96"/>
      <c r="X96"/>
      <c r="Y96"/>
      <c r="Z96"/>
      <c r="AA96"/>
      <c r="AB96"/>
    </row>
    <row r="97" spans="2:28" ht="15" customHeight="1" x14ac:dyDescent="0.25"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/>
      <c r="P97"/>
      <c r="Q97"/>
      <c r="R97"/>
      <c r="S97"/>
      <c r="T97"/>
      <c r="U97"/>
      <c r="V97"/>
      <c r="W97"/>
      <c r="X97"/>
      <c r="Y97"/>
      <c r="Z97"/>
      <c r="AA97"/>
      <c r="AB97"/>
    </row>
    <row r="98" spans="2:28" ht="15" customHeight="1" x14ac:dyDescent="0.25"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/>
      <c r="P98"/>
      <c r="Q98"/>
      <c r="R98"/>
      <c r="S98"/>
      <c r="T98"/>
      <c r="U98"/>
      <c r="V98"/>
      <c r="W98"/>
      <c r="X98"/>
      <c r="Y98"/>
      <c r="Z98"/>
      <c r="AA98"/>
      <c r="AB98"/>
    </row>
    <row r="99" spans="2:28" ht="15" customHeight="1" x14ac:dyDescent="0.25"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/>
      <c r="P99"/>
      <c r="Q99"/>
      <c r="R99"/>
      <c r="S99"/>
      <c r="T99"/>
      <c r="U99"/>
      <c r="V99"/>
      <c r="W99"/>
      <c r="X99"/>
      <c r="Y99"/>
      <c r="Z99"/>
      <c r="AA99"/>
      <c r="AB99"/>
    </row>
    <row r="100" spans="2:28" ht="15" customHeight="1" x14ac:dyDescent="0.25"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</row>
    <row r="101" spans="2:28" ht="15" customHeight="1" x14ac:dyDescent="0.25"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</row>
  </sheetData>
  <mergeCells count="1">
    <mergeCell ref="L1:M1"/>
  </mergeCells>
  <conditionalFormatting sqref="B1">
    <cfRule type="cellIs" dxfId="2" priority="1" operator="equal">
      <formula>"Incomplete"</formula>
    </cfRule>
    <cfRule type="cellIs" dxfId="1" priority="2" operator="equal">
      <formula>"Flag for Review"</formula>
    </cfRule>
    <cfRule type="cellIs" dxfId="0" priority="3" operator="equal">
      <formula>"Finished"</formula>
    </cfRule>
  </conditionalFormatting>
  <dataValidations count="1">
    <dataValidation type="list" allowBlank="1" showInputMessage="1" showErrorMessage="1" sqref="B1">
      <formula1>"Finished, Flag for Review, Incomplete"</formula1>
    </dataValidation>
  </dataValidations>
  <hyperlinks>
    <hyperlink ref="L1" location="'Point Grid'!A8" display="Return to Point Grid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Instructions</vt:lpstr>
      <vt:lpstr>Point Grid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</dc:creator>
  <cp:lastModifiedBy>Owner</cp:lastModifiedBy>
  <cp:lastPrinted>2021-10-02T06:02:13Z</cp:lastPrinted>
  <dcterms:created xsi:type="dcterms:W3CDTF">2020-12-22T11:57:29Z</dcterms:created>
  <dcterms:modified xsi:type="dcterms:W3CDTF">2024-03-03T11:53:12Z</dcterms:modified>
</cp:coreProperties>
</file>