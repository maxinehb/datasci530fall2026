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Owner\Desktop\OneDrive\Exam-6US\POWER PACK\"/>
    </mc:Choice>
  </mc:AlternateContent>
  <bookViews>
    <workbookView xWindow="0" yWindow="0" windowWidth="24000" windowHeight="9735"/>
  </bookViews>
  <sheets>
    <sheet name="TOC" sheetId="1" r:id="rId1"/>
    <sheet name="IRIS-1" sheetId="7" r:id="rId2"/>
    <sheet name="IRIS-2" sheetId="5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8" i="7" l="1"/>
  <c r="P8" i="5"/>
  <c r="Q8" i="5" s="1"/>
  <c r="W24" i="5"/>
  <c r="W23" i="5"/>
  <c r="T23" i="5" s="1"/>
  <c r="T22" i="5" s="1"/>
  <c r="T21" i="5" s="1"/>
  <c r="P21" i="5" s="1"/>
  <c r="Q21" i="5" s="1"/>
  <c r="Q20" i="5"/>
  <c r="P20" i="5"/>
  <c r="P19" i="5"/>
  <c r="Q19" i="5" s="1"/>
  <c r="Q17" i="5"/>
  <c r="P17" i="5"/>
  <c r="P16" i="5"/>
  <c r="Q16" i="5" s="1"/>
  <c r="Q14" i="5"/>
  <c r="P14" i="5"/>
  <c r="T13" i="5"/>
  <c r="P13" i="5"/>
  <c r="Q13" i="5" s="1"/>
  <c r="T12" i="5"/>
  <c r="P12" i="5"/>
  <c r="Q12" i="5" s="1"/>
  <c r="T11" i="5"/>
  <c r="P11" i="5" s="1"/>
  <c r="Q11" i="5" s="1"/>
  <c r="T9" i="5"/>
  <c r="P9" i="5" s="1"/>
  <c r="Q9" i="5" s="1"/>
  <c r="Q7" i="5"/>
  <c r="P7" i="5"/>
  <c r="P6" i="5"/>
  <c r="Q6" i="5" s="1"/>
  <c r="W24" i="7"/>
  <c r="W23" i="7"/>
  <c r="T23" i="7"/>
  <c r="T22" i="7"/>
  <c r="T21" i="7" s="1"/>
  <c r="P21" i="7" s="1"/>
  <c r="Q21" i="7" s="1"/>
  <c r="Q20" i="7"/>
  <c r="P20" i="7"/>
  <c r="P19" i="7"/>
  <c r="Q19" i="7" s="1"/>
  <c r="Q17" i="7"/>
  <c r="P17" i="7"/>
  <c r="P16" i="7"/>
  <c r="Q16" i="7" s="1"/>
  <c r="Q14" i="7"/>
  <c r="P14" i="7"/>
  <c r="T13" i="7"/>
  <c r="P13" i="7"/>
  <c r="Q13" i="7" s="1"/>
  <c r="T12" i="7"/>
  <c r="P12" i="7"/>
  <c r="Q12" i="7" s="1"/>
  <c r="T11" i="7"/>
  <c r="P11" i="7" s="1"/>
  <c r="Q11" i="7" s="1"/>
  <c r="T9" i="7"/>
  <c r="P9" i="7" s="1"/>
  <c r="Q9" i="7" s="1"/>
  <c r="Q8" i="7"/>
  <c r="Q7" i="7"/>
  <c r="P7" i="7"/>
  <c r="P6" i="7"/>
  <c r="Q6" i="7" s="1"/>
</calcChain>
</file>

<file path=xl/sharedStrings.xml><?xml version="1.0" encoding="utf-8"?>
<sst xmlns="http://schemas.openxmlformats.org/spreadsheetml/2006/main" count="242" uniqueCount="72">
  <si>
    <t>Question</t>
  </si>
  <si>
    <t>Sheet</t>
  </si>
  <si>
    <t>Type</t>
  </si>
  <si>
    <t>Reading:</t>
  </si>
  <si>
    <t>Model:</t>
  </si>
  <si>
    <t>Problem Type:</t>
  </si>
  <si>
    <t>Given</t>
  </si>
  <si>
    <t/>
  </si>
  <si>
    <t>Exam 6U: IRIS Ratios</t>
  </si>
  <si>
    <t>IRIS-1</t>
  </si>
  <si>
    <t>IRIS-2</t>
  </si>
  <si>
    <t>Return to TOC</t>
  </si>
  <si>
    <t>NAIC.IRIS</t>
  </si>
  <si>
    <t>|</t>
  </si>
  <si>
    <t>Random</t>
  </si>
  <si>
    <t>IRIS ratios</t>
  </si>
  <si>
    <t>CY</t>
  </si>
  <si>
    <t>CY-1</t>
  </si>
  <si>
    <t>CY-2</t>
  </si>
  <si>
    <t>Gross Premiums Earned</t>
  </si>
  <si>
    <t>IRIS 1</t>
  </si>
  <si>
    <t>Net Premiums Earned</t>
  </si>
  <si>
    <t>IRIS 2</t>
  </si>
  <si>
    <t>Gross Premiums Written</t>
  </si>
  <si>
    <t>IRIS 3</t>
  </si>
  <si>
    <t>Net Premiums Written</t>
  </si>
  <si>
    <t>IRIS 4</t>
  </si>
  <si>
    <t>----&gt;</t>
  </si>
  <si>
    <t>surplus aid</t>
  </si>
  <si>
    <t>Net Investment income earned</t>
  </si>
  <si>
    <t>Reinsurance Premiums ceded: Affiliates</t>
  </si>
  <si>
    <t>IRIS 5</t>
  </si>
  <si>
    <t>LR</t>
  </si>
  <si>
    <t>Reinsurance Premiums ceded: Non Affiliates</t>
  </si>
  <si>
    <t>IRIS 6</t>
  </si>
  <si>
    <t>ER</t>
  </si>
  <si>
    <t>Reinsurance Ceded Commissions</t>
  </si>
  <si>
    <t>IRIS 7</t>
  </si>
  <si>
    <t>IIR</t>
  </si>
  <si>
    <t>Reinsurance Ceded Contingent Commissions</t>
  </si>
  <si>
    <t>IRIS 8</t>
  </si>
  <si>
    <t>Total Other income</t>
  </si>
  <si>
    <t>Net Losses &amp; LAE Incurred</t>
  </si>
  <si>
    <t>IRIS 9</t>
  </si>
  <si>
    <t>Dividends to policyholders</t>
  </si>
  <si>
    <t>IRIS 10</t>
  </si>
  <si>
    <t>Other underwriting expenses incurred</t>
  </si>
  <si>
    <t>Cash &amp; Invested Assets</t>
  </si>
  <si>
    <t>IRIS 11</t>
  </si>
  <si>
    <t>Investment Income Due &amp; Accured</t>
  </si>
  <si>
    <t>IRIS 12</t>
  </si>
  <si>
    <t>Liquid Assets</t>
  </si>
  <si>
    <t>IRIS 13</t>
  </si>
  <si>
    <t>deficiency</t>
  </si>
  <si>
    <t>Agents Balances in Collection</t>
  </si>
  <si>
    <t>required</t>
  </si>
  <si>
    <t>Agents Balances Deferred</t>
  </si>
  <si>
    <t>avg(R/P)</t>
  </si>
  <si>
    <t xml:space="preserve">CY - 1: </t>
  </si>
  <si>
    <t>Total Liabilities</t>
  </si>
  <si>
    <t xml:space="preserve">CY - 2: </t>
  </si>
  <si>
    <t>Ceded UEPR: Affiliates</t>
  </si>
  <si>
    <t>Ceded UEPR: Non Affiliates</t>
  </si>
  <si>
    <t>Loss &amp; LAE Reserves</t>
  </si>
  <si>
    <t>Borrowed Money</t>
  </si>
  <si>
    <t>Surplus Paid In</t>
  </si>
  <si>
    <t>Surplus</t>
  </si>
  <si>
    <t>1yr Reserve Development</t>
  </si>
  <si>
    <t>2yr Reserve Development</t>
  </si>
  <si>
    <t>Calculating IRIS Ratios 1-13</t>
  </si>
  <si>
    <t>Find</t>
  </si>
  <si>
    <t>IRIS ratios 1-13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</si>
</sst>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00"/>
    <numFmt numFmtId="165" formatCode="#,##0.0"/>
    <numFmt numFmtId="166" formatCode="0.0%"/>
    <numFmt numFmtId="167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</cellStyleXfs>
  <cellXfs count="57">
    <xf numFmtId="0" fontId="0" fillId="0" borderId="0" xfId="0"/>
    <xf numFmtId="0" fontId="0" fillId="2" borderId="0" xfId="0" applyFont="1" applyFill="1"/>
    <xf numFmtId="0" fontId="0" fillId="2" borderId="0" xfId="0" applyFont="1" applyFill="1" applyBorder="1"/>
    <xf numFmtId="0" fontId="1" fillId="2" borderId="1" xfId="0" applyFont="1" applyFill="1" applyBorder="1" applyAlignment="1">
      <alignment horizontal="center"/>
    </xf>
    <xf numFmtId="0" fontId="0" fillId="2" borderId="0" xfId="0" applyFont="1" applyFill="1" applyAlignment="1">
      <alignment horizontal="center"/>
    </xf>
    <xf numFmtId="0" fontId="1" fillId="0" borderId="0" xfId="0" applyFont="1"/>
    <xf numFmtId="0" fontId="0" fillId="0" borderId="0" xfId="0" applyFont="1"/>
    <xf numFmtId="3" fontId="0" fillId="0" borderId="0" xfId="0" applyNumberFormat="1" applyFont="1"/>
    <xf numFmtId="3" fontId="0" fillId="0" borderId="0" xfId="0" applyNumberFormat="1" applyFont="1" applyAlignment="1">
      <alignment horizontal="center"/>
    </xf>
    <xf numFmtId="3" fontId="0" fillId="0" borderId="0" xfId="0" applyNumberFormat="1"/>
    <xf numFmtId="0" fontId="3" fillId="2" borderId="0" xfId="1" applyFill="1" applyAlignment="1">
      <alignment horizontal="center"/>
    </xf>
    <xf numFmtId="3" fontId="0" fillId="0" borderId="7" xfId="0" applyNumberFormat="1" applyFont="1" applyBorder="1"/>
    <xf numFmtId="3" fontId="0" fillId="0" borderId="1" xfId="0" applyNumberFormat="1" applyFont="1" applyBorder="1"/>
    <xf numFmtId="3" fontId="0" fillId="0" borderId="0" xfId="0" quotePrefix="1" applyNumberFormat="1" applyFont="1"/>
    <xf numFmtId="3" fontId="0" fillId="0" borderId="2" xfId="0" applyNumberFormat="1" applyFont="1" applyBorder="1"/>
    <xf numFmtId="3" fontId="0" fillId="0" borderId="4" xfId="0" applyNumberFormat="1" applyFont="1" applyBorder="1"/>
    <xf numFmtId="3" fontId="0" fillId="3" borderId="4" xfId="0" applyNumberFormat="1" applyFont="1" applyFill="1" applyBorder="1"/>
    <xf numFmtId="3" fontId="0" fillId="0" borderId="3" xfId="0" applyNumberFormat="1" applyFont="1" applyBorder="1"/>
    <xf numFmtId="3" fontId="0" fillId="0" borderId="8" xfId="0" applyNumberFormat="1" applyFont="1" applyBorder="1"/>
    <xf numFmtId="3" fontId="0" fillId="0" borderId="5" xfId="0" applyNumberFormat="1" applyFont="1" applyBorder="1"/>
    <xf numFmtId="3" fontId="0" fillId="0" borderId="6" xfId="0" applyNumberFormat="1" applyFont="1" applyBorder="1"/>
    <xf numFmtId="3" fontId="0" fillId="3" borderId="6" xfId="0" applyNumberFormat="1" applyFont="1" applyFill="1" applyBorder="1"/>
    <xf numFmtId="3" fontId="0" fillId="3" borderId="7" xfId="0" applyNumberFormat="1" applyFont="1" applyFill="1" applyBorder="1"/>
    <xf numFmtId="0" fontId="0" fillId="2" borderId="0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ont="1" applyFill="1" applyAlignment="1">
      <alignment horizontal="left"/>
    </xf>
    <xf numFmtId="0" fontId="3" fillId="2" borderId="0" xfId="1" applyFill="1" applyAlignment="1">
      <alignment horizontal="right"/>
    </xf>
    <xf numFmtId="0" fontId="0" fillId="0" borderId="0" xfId="0" quotePrefix="1" applyAlignment="1">
      <alignment horizontal="left"/>
    </xf>
    <xf numFmtId="3" fontId="0" fillId="0" borderId="9" xfId="0" applyNumberFormat="1" applyFont="1" applyBorder="1"/>
    <xf numFmtId="0" fontId="0" fillId="0" borderId="10" xfId="0" applyFont="1" applyBorder="1"/>
    <xf numFmtId="3" fontId="0" fillId="0" borderId="10" xfId="0" applyNumberFormat="1" applyFont="1" applyBorder="1"/>
    <xf numFmtId="3" fontId="0" fillId="0" borderId="11" xfId="0" applyNumberFormat="1" applyFont="1" applyBorder="1"/>
    <xf numFmtId="3" fontId="0" fillId="0" borderId="10" xfId="0" applyNumberFormat="1" applyFont="1" applyBorder="1" applyAlignment="1">
      <alignment horizontal="center"/>
    </xf>
    <xf numFmtId="3" fontId="0" fillId="0" borderId="11" xfId="0" applyNumberFormat="1" applyFont="1" applyBorder="1" applyAlignment="1">
      <alignment horizontal="center"/>
    </xf>
    <xf numFmtId="0" fontId="0" fillId="0" borderId="3" xfId="0" applyFont="1" applyBorder="1"/>
    <xf numFmtId="3" fontId="0" fillId="3" borderId="3" xfId="0" applyNumberFormat="1" applyFont="1" applyFill="1" applyBorder="1"/>
    <xf numFmtId="0" fontId="0" fillId="0" borderId="0" xfId="0" applyAlignment="1">
      <alignment horizontal="center"/>
    </xf>
    <xf numFmtId="9" fontId="0" fillId="0" borderId="0" xfId="2" applyFont="1"/>
    <xf numFmtId="0" fontId="5" fillId="0" borderId="0" xfId="0" applyFont="1" applyAlignment="1">
      <alignment horizontal="center"/>
    </xf>
    <xf numFmtId="164" fontId="0" fillId="0" borderId="0" xfId="0" applyNumberFormat="1"/>
    <xf numFmtId="0" fontId="0" fillId="0" borderId="0" xfId="0" applyFont="1" applyBorder="1"/>
    <xf numFmtId="3" fontId="0" fillId="0" borderId="0" xfId="0" applyNumberFormat="1" applyFont="1" applyBorder="1"/>
    <xf numFmtId="3" fontId="0" fillId="3" borderId="0" xfId="0" applyNumberFormat="1" applyFont="1" applyFill="1" applyBorder="1"/>
    <xf numFmtId="0" fontId="0" fillId="0" borderId="1" xfId="0" applyFont="1" applyBorder="1"/>
    <xf numFmtId="3" fontId="0" fillId="3" borderId="1" xfId="0" applyNumberFormat="1" applyFont="1" applyFill="1" applyBorder="1"/>
    <xf numFmtId="0" fontId="0" fillId="0" borderId="0" xfId="0" quotePrefix="1" applyAlignment="1">
      <alignment horizontal="center"/>
    </xf>
    <xf numFmtId="165" fontId="0" fillId="0" borderId="0" xfId="0" applyNumberFormat="1" applyAlignment="1">
      <alignment horizontal="center"/>
    </xf>
    <xf numFmtId="0" fontId="6" fillId="0" borderId="0" xfId="0" applyFont="1" applyAlignment="1">
      <alignment horizontal="center"/>
    </xf>
    <xf numFmtId="9" fontId="0" fillId="0" borderId="0" xfId="2" applyFont="1" applyAlignment="1">
      <alignment horizontal="center"/>
    </xf>
    <xf numFmtId="166" fontId="0" fillId="0" borderId="0" xfId="2" applyNumberFormat="1" applyFont="1"/>
    <xf numFmtId="10" fontId="0" fillId="0" borderId="0" xfId="2" applyNumberFormat="1" applyFont="1"/>
    <xf numFmtId="167" fontId="0" fillId="0" borderId="0" xfId="0" applyNumberFormat="1"/>
    <xf numFmtId="3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0" fontId="0" fillId="0" borderId="0" xfId="0" applyNumberFormat="1" applyFont="1"/>
    <xf numFmtId="0" fontId="2" fillId="2" borderId="0" xfId="0" applyFont="1" applyFill="1" applyAlignment="1">
      <alignment horizontal="center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31750</xdr:rowOff>
    </xdr:from>
    <xdr:to>
      <xdr:col>2</xdr:col>
      <xdr:colOff>914189</xdr:colOff>
      <xdr:row>4</xdr:row>
      <xdr:rowOff>70486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750"/>
          <a:ext cx="3334597" cy="8007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7"/>
  </sheetPr>
  <dimension ref="A5:C130"/>
  <sheetViews>
    <sheetView tabSelected="1" zoomScale="90" zoomScaleNormal="90" workbookViewId="0">
      <selection activeCell="A10" sqref="A10"/>
    </sheetView>
  </sheetViews>
  <sheetFormatPr defaultRowHeight="15" x14ac:dyDescent="0.25"/>
  <cols>
    <col min="1" max="1" width="13.5703125" style="1" customWidth="1"/>
    <col min="2" max="2" width="22.7109375" style="25" customWidth="1"/>
    <col min="3" max="3" width="58.28515625" style="2" bestFit="1" customWidth="1"/>
    <col min="4" max="16384" width="9.140625" style="1"/>
  </cols>
  <sheetData>
    <row r="5" spans="1:3" x14ac:dyDescent="0.25">
      <c r="A5" s="56" t="s">
        <v>8</v>
      </c>
      <c r="B5" s="56"/>
      <c r="C5" s="56"/>
    </row>
    <row r="6" spans="1:3" ht="21" customHeight="1" x14ac:dyDescent="0.25">
      <c r="A6" s="56"/>
      <c r="B6" s="56"/>
      <c r="C6" s="56"/>
    </row>
    <row r="8" spans="1:3" x14ac:dyDescent="0.25">
      <c r="A8" s="2"/>
      <c r="B8" s="23"/>
    </row>
    <row r="9" spans="1:3" x14ac:dyDescent="0.25">
      <c r="A9" s="3" t="s">
        <v>0</v>
      </c>
      <c r="B9" s="24" t="s">
        <v>1</v>
      </c>
      <c r="C9" s="24" t="s">
        <v>2</v>
      </c>
    </row>
    <row r="10" spans="1:3" x14ac:dyDescent="0.25">
      <c r="A10" s="10">
        <v>1</v>
      </c>
      <c r="B10" s="23" t="s">
        <v>9</v>
      </c>
      <c r="C10" s="2" t="s">
        <v>69</v>
      </c>
    </row>
    <row r="11" spans="1:3" x14ac:dyDescent="0.25">
      <c r="A11" s="10">
        <v>2</v>
      </c>
      <c r="B11" s="23" t="s">
        <v>10</v>
      </c>
      <c r="C11" s="2" t="s">
        <v>69</v>
      </c>
    </row>
    <row r="12" spans="1:3" x14ac:dyDescent="0.25">
      <c r="A12" s="10"/>
      <c r="B12" s="23"/>
    </row>
    <row r="13" spans="1:3" x14ac:dyDescent="0.25">
      <c r="A13" s="4"/>
      <c r="B13" s="23"/>
    </row>
    <row r="14" spans="1:3" x14ac:dyDescent="0.25">
      <c r="A14" s="4"/>
      <c r="B14" s="23"/>
    </row>
    <row r="15" spans="1:3" x14ac:dyDescent="0.25">
      <c r="A15" s="4"/>
      <c r="B15" s="23"/>
    </row>
    <row r="16" spans="1:3" x14ac:dyDescent="0.25">
      <c r="A16" s="4"/>
      <c r="B16" s="23"/>
    </row>
    <row r="17" spans="1:2" x14ac:dyDescent="0.25">
      <c r="A17" s="4"/>
      <c r="B17" s="23"/>
    </row>
    <row r="18" spans="1:2" x14ac:dyDescent="0.25">
      <c r="A18" s="4"/>
      <c r="B18" s="23"/>
    </row>
    <row r="19" spans="1:2" x14ac:dyDescent="0.25">
      <c r="A19" s="4"/>
      <c r="B19" s="23"/>
    </row>
    <row r="20" spans="1:2" x14ac:dyDescent="0.25">
      <c r="A20" s="4"/>
      <c r="B20" s="23"/>
    </row>
    <row r="21" spans="1:2" x14ac:dyDescent="0.25">
      <c r="A21" s="4"/>
      <c r="B21" s="23"/>
    </row>
    <row r="22" spans="1:2" x14ac:dyDescent="0.25">
      <c r="A22" s="4"/>
      <c r="B22" s="23"/>
    </row>
    <row r="23" spans="1:2" x14ac:dyDescent="0.25">
      <c r="A23" s="4"/>
      <c r="B23" s="23"/>
    </row>
    <row r="24" spans="1:2" x14ac:dyDescent="0.25">
      <c r="A24" s="4"/>
      <c r="B24" s="23"/>
    </row>
    <row r="25" spans="1:2" x14ac:dyDescent="0.25">
      <c r="A25" s="4"/>
      <c r="B25" s="23"/>
    </row>
    <row r="26" spans="1:2" x14ac:dyDescent="0.25">
      <c r="A26" s="4"/>
      <c r="B26" s="23"/>
    </row>
    <row r="27" spans="1:2" x14ac:dyDescent="0.25">
      <c r="A27" s="4"/>
      <c r="B27" s="23"/>
    </row>
    <row r="28" spans="1:2" x14ac:dyDescent="0.25">
      <c r="A28" s="4"/>
      <c r="B28" s="23"/>
    </row>
    <row r="29" spans="1:2" x14ac:dyDescent="0.25">
      <c r="A29" s="4"/>
      <c r="B29" s="23"/>
    </row>
    <row r="30" spans="1:2" x14ac:dyDescent="0.25">
      <c r="A30" s="4"/>
      <c r="B30" s="23"/>
    </row>
    <row r="31" spans="1:2" x14ac:dyDescent="0.25">
      <c r="A31" s="4"/>
      <c r="B31" s="23"/>
    </row>
    <row r="32" spans="1:2" x14ac:dyDescent="0.25">
      <c r="A32" s="4"/>
      <c r="B32" s="23"/>
    </row>
    <row r="33" spans="1:2" x14ac:dyDescent="0.25">
      <c r="A33" s="4"/>
      <c r="B33" s="23"/>
    </row>
    <row r="34" spans="1:2" x14ac:dyDescent="0.25">
      <c r="A34" s="4"/>
      <c r="B34" s="23"/>
    </row>
    <row r="35" spans="1:2" x14ac:dyDescent="0.25">
      <c r="A35" s="4"/>
      <c r="B35" s="23"/>
    </row>
    <row r="36" spans="1:2" x14ac:dyDescent="0.25">
      <c r="A36" s="4"/>
      <c r="B36" s="23"/>
    </row>
    <row r="37" spans="1:2" x14ac:dyDescent="0.25">
      <c r="A37" s="4"/>
      <c r="B37" s="23"/>
    </row>
    <row r="38" spans="1:2" x14ac:dyDescent="0.25">
      <c r="A38" s="4"/>
      <c r="B38" s="23"/>
    </row>
    <row r="39" spans="1:2" x14ac:dyDescent="0.25">
      <c r="A39" s="4"/>
      <c r="B39" s="23"/>
    </row>
    <row r="40" spans="1:2" x14ac:dyDescent="0.25">
      <c r="A40" s="4"/>
      <c r="B40" s="23"/>
    </row>
    <row r="41" spans="1:2" x14ac:dyDescent="0.25">
      <c r="A41" s="4"/>
      <c r="B41" s="23"/>
    </row>
    <row r="42" spans="1:2" x14ac:dyDescent="0.25">
      <c r="A42" s="4"/>
      <c r="B42" s="23"/>
    </row>
    <row r="43" spans="1:2" x14ac:dyDescent="0.25">
      <c r="A43" s="4"/>
      <c r="B43" s="23"/>
    </row>
    <row r="44" spans="1:2" x14ac:dyDescent="0.25">
      <c r="A44" s="4"/>
      <c r="B44" s="23"/>
    </row>
    <row r="45" spans="1:2" x14ac:dyDescent="0.25">
      <c r="A45" s="4"/>
      <c r="B45" s="23"/>
    </row>
    <row r="46" spans="1:2" x14ac:dyDescent="0.25">
      <c r="A46" s="4"/>
      <c r="B46" s="23"/>
    </row>
    <row r="47" spans="1:2" x14ac:dyDescent="0.25">
      <c r="A47" s="4"/>
      <c r="B47" s="23"/>
    </row>
    <row r="48" spans="1:2" x14ac:dyDescent="0.25">
      <c r="A48" s="4"/>
      <c r="B48" s="23"/>
    </row>
    <row r="49" spans="1:2" x14ac:dyDescent="0.25">
      <c r="A49" s="4"/>
      <c r="B49" s="23"/>
    </row>
    <row r="50" spans="1:2" x14ac:dyDescent="0.25">
      <c r="A50" s="4"/>
      <c r="B50" s="23"/>
    </row>
    <row r="51" spans="1:2" x14ac:dyDescent="0.25">
      <c r="A51" s="4"/>
      <c r="B51" s="23"/>
    </row>
    <row r="52" spans="1:2" x14ac:dyDescent="0.25">
      <c r="A52" s="4"/>
      <c r="B52" s="23"/>
    </row>
    <row r="53" spans="1:2" x14ac:dyDescent="0.25">
      <c r="A53" s="4"/>
      <c r="B53" s="23"/>
    </row>
    <row r="54" spans="1:2" x14ac:dyDescent="0.25">
      <c r="A54" s="4"/>
      <c r="B54" s="23"/>
    </row>
    <row r="55" spans="1:2" x14ac:dyDescent="0.25">
      <c r="A55" s="4"/>
      <c r="B55" s="23"/>
    </row>
    <row r="56" spans="1:2" x14ac:dyDescent="0.25">
      <c r="A56" s="4"/>
      <c r="B56" s="23"/>
    </row>
    <row r="57" spans="1:2" x14ac:dyDescent="0.25">
      <c r="A57" s="4"/>
      <c r="B57" s="23"/>
    </row>
    <row r="58" spans="1:2" x14ac:dyDescent="0.25">
      <c r="A58" s="4"/>
      <c r="B58" s="23"/>
    </row>
    <row r="59" spans="1:2" x14ac:dyDescent="0.25">
      <c r="A59" s="4"/>
      <c r="B59" s="23"/>
    </row>
    <row r="60" spans="1:2" x14ac:dyDescent="0.25">
      <c r="A60" s="4"/>
      <c r="B60" s="23"/>
    </row>
    <row r="61" spans="1:2" x14ac:dyDescent="0.25">
      <c r="A61" s="4"/>
      <c r="B61" s="23"/>
    </row>
    <row r="62" spans="1:2" x14ac:dyDescent="0.25">
      <c r="A62" s="4"/>
      <c r="B62" s="23"/>
    </row>
    <row r="63" spans="1:2" x14ac:dyDescent="0.25">
      <c r="A63" s="4"/>
      <c r="B63" s="23"/>
    </row>
    <row r="64" spans="1:2" x14ac:dyDescent="0.25">
      <c r="A64" s="4"/>
      <c r="B64" s="23"/>
    </row>
    <row r="65" spans="1:2" x14ac:dyDescent="0.25">
      <c r="A65" s="4"/>
      <c r="B65" s="23"/>
    </row>
    <row r="66" spans="1:2" x14ac:dyDescent="0.25">
      <c r="A66" s="4"/>
      <c r="B66" s="23"/>
    </row>
    <row r="67" spans="1:2" x14ac:dyDescent="0.25">
      <c r="A67" s="4"/>
      <c r="B67" s="23"/>
    </row>
    <row r="68" spans="1:2" x14ac:dyDescent="0.25">
      <c r="A68" s="4"/>
      <c r="B68" s="23"/>
    </row>
    <row r="69" spans="1:2" x14ac:dyDescent="0.25">
      <c r="A69" s="4"/>
      <c r="B69" s="23"/>
    </row>
    <row r="70" spans="1:2" x14ac:dyDescent="0.25">
      <c r="A70" s="4"/>
      <c r="B70" s="23"/>
    </row>
    <row r="71" spans="1:2" x14ac:dyDescent="0.25">
      <c r="A71" s="4"/>
      <c r="B71" s="23"/>
    </row>
    <row r="72" spans="1:2" x14ac:dyDescent="0.25">
      <c r="A72" s="4"/>
      <c r="B72" s="23"/>
    </row>
    <row r="73" spans="1:2" x14ac:dyDescent="0.25">
      <c r="A73" s="4"/>
      <c r="B73" s="23"/>
    </row>
    <row r="74" spans="1:2" x14ac:dyDescent="0.25">
      <c r="A74" s="4"/>
      <c r="B74" s="23"/>
    </row>
    <row r="75" spans="1:2" x14ac:dyDescent="0.25">
      <c r="A75" s="4"/>
      <c r="B75" s="23"/>
    </row>
    <row r="76" spans="1:2" x14ac:dyDescent="0.25">
      <c r="A76" s="4"/>
      <c r="B76" s="23"/>
    </row>
    <row r="77" spans="1:2" x14ac:dyDescent="0.25">
      <c r="A77" s="4"/>
      <c r="B77" s="23"/>
    </row>
    <row r="78" spans="1:2" x14ac:dyDescent="0.25">
      <c r="A78" s="4"/>
      <c r="B78" s="23"/>
    </row>
    <row r="79" spans="1:2" x14ac:dyDescent="0.25">
      <c r="A79" s="4"/>
      <c r="B79" s="23"/>
    </row>
    <row r="80" spans="1:2" x14ac:dyDescent="0.25">
      <c r="A80" s="4"/>
      <c r="B80" s="23"/>
    </row>
    <row r="81" spans="1:2" x14ac:dyDescent="0.25">
      <c r="A81" s="4"/>
      <c r="B81" s="23"/>
    </row>
    <row r="82" spans="1:2" x14ac:dyDescent="0.25">
      <c r="A82" s="4"/>
      <c r="B82" s="23"/>
    </row>
    <row r="83" spans="1:2" x14ac:dyDescent="0.25">
      <c r="A83" s="4"/>
      <c r="B83" s="23"/>
    </row>
    <row r="84" spans="1:2" x14ac:dyDescent="0.25">
      <c r="A84" s="4"/>
      <c r="B84" s="23"/>
    </row>
    <row r="85" spans="1:2" x14ac:dyDescent="0.25">
      <c r="A85" s="4"/>
      <c r="B85" s="23"/>
    </row>
    <row r="86" spans="1:2" x14ac:dyDescent="0.25">
      <c r="A86" s="4"/>
      <c r="B86" s="23"/>
    </row>
    <row r="88" spans="1:2" x14ac:dyDescent="0.25">
      <c r="A88" s="4"/>
    </row>
    <row r="89" spans="1:2" x14ac:dyDescent="0.25">
      <c r="A89" s="4"/>
    </row>
    <row r="90" spans="1:2" x14ac:dyDescent="0.25">
      <c r="A90" s="4"/>
    </row>
    <row r="91" spans="1:2" x14ac:dyDescent="0.25">
      <c r="A91" s="4"/>
    </row>
    <row r="92" spans="1:2" x14ac:dyDescent="0.25">
      <c r="A92" s="4"/>
    </row>
    <row r="93" spans="1:2" x14ac:dyDescent="0.25">
      <c r="A93" s="4"/>
    </row>
    <row r="94" spans="1:2" x14ac:dyDescent="0.25">
      <c r="A94" s="4"/>
    </row>
    <row r="95" spans="1:2" x14ac:dyDescent="0.25">
      <c r="A95" s="4"/>
    </row>
    <row r="96" spans="1:2" x14ac:dyDescent="0.25">
      <c r="A96" s="4"/>
    </row>
    <row r="97" spans="1:1" x14ac:dyDescent="0.25">
      <c r="A97" s="4"/>
    </row>
    <row r="98" spans="1:1" x14ac:dyDescent="0.25">
      <c r="A98" s="4"/>
    </row>
    <row r="99" spans="1:1" x14ac:dyDescent="0.25">
      <c r="A99" s="4"/>
    </row>
    <row r="100" spans="1:1" x14ac:dyDescent="0.25">
      <c r="A100" s="4"/>
    </row>
    <row r="101" spans="1:1" x14ac:dyDescent="0.25">
      <c r="A101" s="4"/>
    </row>
    <row r="102" spans="1:1" x14ac:dyDescent="0.25">
      <c r="A102" s="4"/>
    </row>
    <row r="103" spans="1:1" x14ac:dyDescent="0.25">
      <c r="A103" s="4"/>
    </row>
    <row r="104" spans="1:1" x14ac:dyDescent="0.25">
      <c r="A104" s="4"/>
    </row>
    <row r="105" spans="1:1" x14ac:dyDescent="0.25">
      <c r="A105" s="4"/>
    </row>
    <row r="106" spans="1:1" x14ac:dyDescent="0.25">
      <c r="A106" s="4"/>
    </row>
    <row r="107" spans="1:1" x14ac:dyDescent="0.25">
      <c r="A107" s="4"/>
    </row>
    <row r="108" spans="1:1" x14ac:dyDescent="0.25">
      <c r="A108" s="4"/>
    </row>
    <row r="109" spans="1:1" x14ac:dyDescent="0.25">
      <c r="A109" s="4"/>
    </row>
    <row r="110" spans="1:1" x14ac:dyDescent="0.25">
      <c r="A110" s="4"/>
    </row>
    <row r="111" spans="1:1" x14ac:dyDescent="0.25">
      <c r="A111" s="4"/>
    </row>
    <row r="112" spans="1:1" x14ac:dyDescent="0.25">
      <c r="A112" s="4"/>
    </row>
    <row r="113" spans="1:1" x14ac:dyDescent="0.25">
      <c r="A113" s="4"/>
    </row>
    <row r="114" spans="1:1" x14ac:dyDescent="0.25">
      <c r="A114" s="4"/>
    </row>
    <row r="115" spans="1:1" x14ac:dyDescent="0.25">
      <c r="A115" s="4"/>
    </row>
    <row r="116" spans="1:1" x14ac:dyDescent="0.25">
      <c r="A116" s="4"/>
    </row>
    <row r="117" spans="1:1" x14ac:dyDescent="0.25">
      <c r="A117" s="4"/>
    </row>
    <row r="118" spans="1:1" x14ac:dyDescent="0.25">
      <c r="A118" s="4"/>
    </row>
    <row r="119" spans="1:1" x14ac:dyDescent="0.25">
      <c r="A119" s="4"/>
    </row>
    <row r="120" spans="1:1" x14ac:dyDescent="0.25">
      <c r="A120" s="4"/>
    </row>
    <row r="121" spans="1:1" x14ac:dyDescent="0.25">
      <c r="A121" s="4"/>
    </row>
    <row r="122" spans="1:1" x14ac:dyDescent="0.25">
      <c r="A122" s="4"/>
    </row>
    <row r="123" spans="1:1" x14ac:dyDescent="0.25">
      <c r="A123" s="4"/>
    </row>
    <row r="124" spans="1:1" x14ac:dyDescent="0.25">
      <c r="A124" s="4"/>
    </row>
    <row r="125" spans="1:1" x14ac:dyDescent="0.25">
      <c r="A125" s="4"/>
    </row>
    <row r="126" spans="1:1" x14ac:dyDescent="0.25">
      <c r="A126" s="4"/>
    </row>
    <row r="127" spans="1:1" x14ac:dyDescent="0.25">
      <c r="A127" s="4"/>
    </row>
    <row r="128" spans="1:1" x14ac:dyDescent="0.25">
      <c r="A128" s="4"/>
    </row>
    <row r="129" spans="1:1" x14ac:dyDescent="0.25">
      <c r="A129" s="4"/>
    </row>
    <row r="130" spans="1:1" x14ac:dyDescent="0.25">
      <c r="A130" s="4"/>
    </row>
  </sheetData>
  <mergeCells count="1">
    <mergeCell ref="A5:C6"/>
  </mergeCells>
  <hyperlinks>
    <hyperlink ref="A10" location="'IRIS-1'!A1" display="'IRIS-1'!A1"/>
    <hyperlink ref="A11" location="'IRIS-2'!A1" display="'IRIS-2'!A1"/>
  </hyperlinks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1"/>
  </sheetPr>
  <dimension ref="A1:AM39"/>
  <sheetViews>
    <sheetView zoomScale="90" zoomScaleNormal="90" workbookViewId="0"/>
  </sheetViews>
  <sheetFormatPr defaultColWidth="9.140625" defaultRowHeight="15" x14ac:dyDescent="0.25"/>
  <cols>
    <col min="1" max="1" width="14" style="6" bestFit="1" customWidth="1"/>
    <col min="2" max="2" width="4.7109375" style="6" customWidth="1"/>
    <col min="3" max="8" width="9.140625" style="6" customWidth="1"/>
    <col min="9" max="9" width="9.140625" style="6"/>
    <col min="10" max="13" width="9.140625" style="6" customWidth="1"/>
    <col min="14" max="16384" width="9.140625" style="6"/>
  </cols>
  <sheetData>
    <row r="1" spans="1:39" x14ac:dyDescent="0.25">
      <c r="A1" s="5" t="s">
        <v>3</v>
      </c>
      <c r="C1" t="s">
        <v>12</v>
      </c>
      <c r="M1" s="26" t="s">
        <v>11</v>
      </c>
      <c r="N1" s="8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39" x14ac:dyDescent="0.25">
      <c r="A2" s="5" t="s">
        <v>4</v>
      </c>
      <c r="C2" s="27" t="s">
        <v>14</v>
      </c>
      <c r="M2" s="9"/>
      <c r="N2" s="8" t="s">
        <v>13</v>
      </c>
      <c r="X2" s="7"/>
      <c r="Y2" s="7"/>
      <c r="Z2" s="9"/>
    </row>
    <row r="3" spans="1:39" x14ac:dyDescent="0.25">
      <c r="A3" s="5" t="s">
        <v>5</v>
      </c>
      <c r="C3" s="6" t="s">
        <v>15</v>
      </c>
      <c r="M3" s="9"/>
      <c r="N3" s="8" t="s">
        <v>13</v>
      </c>
      <c r="Z3" s="9"/>
    </row>
    <row r="4" spans="1:39" x14ac:dyDescent="0.25">
      <c r="M4" s="9"/>
      <c r="N4" s="8" t="s">
        <v>13</v>
      </c>
      <c r="Z4" s="9"/>
    </row>
    <row r="5" spans="1:39" x14ac:dyDescent="0.25">
      <c r="A5" s="5" t="s">
        <v>6</v>
      </c>
      <c r="C5" s="28"/>
      <c r="D5" s="29"/>
      <c r="E5" s="30"/>
      <c r="F5" s="30"/>
      <c r="G5" s="31"/>
      <c r="H5" s="32" t="s">
        <v>16</v>
      </c>
      <c r="I5" s="32" t="s">
        <v>17</v>
      </c>
      <c r="J5" s="33" t="s">
        <v>18</v>
      </c>
      <c r="M5" s="9"/>
      <c r="N5" s="8" t="s">
        <v>13</v>
      </c>
    </row>
    <row r="6" spans="1:39" x14ac:dyDescent="0.25">
      <c r="B6" s="7"/>
      <c r="C6" s="14" t="s">
        <v>19</v>
      </c>
      <c r="D6" s="34"/>
      <c r="E6" s="34"/>
      <c r="F6" s="17"/>
      <c r="G6" s="15"/>
      <c r="H6" s="35">
        <v>1410</v>
      </c>
      <c r="I6" s="35">
        <v>1281.8181818181818</v>
      </c>
      <c r="J6" s="16">
        <v>1165.2892561983469</v>
      </c>
      <c r="M6" s="7"/>
      <c r="N6" s="8" t="s">
        <v>13</v>
      </c>
      <c r="O6" s="36" t="s">
        <v>20</v>
      </c>
      <c r="P6" s="37">
        <f>H8/H29</f>
        <v>5.34995775469549</v>
      </c>
      <c r="Q6" s="38" t="str">
        <f>IF(P6&gt;=900%,"unusual","ok")</f>
        <v>ok</v>
      </c>
      <c r="R6"/>
      <c r="S6"/>
      <c r="T6"/>
      <c r="U6" s="9"/>
      <c r="V6" s="39"/>
      <c r="W6" s="7"/>
      <c r="AI6"/>
    </row>
    <row r="7" spans="1:39" x14ac:dyDescent="0.25">
      <c r="B7" s="7"/>
      <c r="C7" s="18" t="s">
        <v>21</v>
      </c>
      <c r="D7" s="40"/>
      <c r="E7" s="40"/>
      <c r="F7" s="41"/>
      <c r="G7" s="11"/>
      <c r="H7" s="42">
        <v>1037.76</v>
      </c>
      <c r="I7" s="42">
        <v>1025.4545454545455</v>
      </c>
      <c r="J7" s="22">
        <v>568.66115702479328</v>
      </c>
      <c r="M7" s="7"/>
      <c r="N7" s="8" t="s">
        <v>13</v>
      </c>
      <c r="O7" s="36" t="s">
        <v>22</v>
      </c>
      <c r="P7" s="37">
        <f>H9/H29</f>
        <v>4.2646398485886543</v>
      </c>
      <c r="Q7" s="38" t="str">
        <f>IF(P7&gt;=300%,"unusual","ok")</f>
        <v>unusual</v>
      </c>
      <c r="R7"/>
      <c r="S7"/>
      <c r="T7"/>
      <c r="U7" s="9"/>
      <c r="V7" s="39"/>
      <c r="AI7"/>
    </row>
    <row r="8" spans="1:39" x14ac:dyDescent="0.25">
      <c r="B8" s="7"/>
      <c r="C8" s="18" t="s">
        <v>23</v>
      </c>
      <c r="D8" s="40"/>
      <c r="E8" s="40"/>
      <c r="F8" s="41"/>
      <c r="G8" s="11"/>
      <c r="H8" s="42">
        <v>1345.909090909091</v>
      </c>
      <c r="I8" s="42">
        <v>1223.5537190082644</v>
      </c>
      <c r="J8" s="22">
        <v>1112.3215627347856</v>
      </c>
      <c r="M8" s="7"/>
      <c r="N8" s="8" t="s">
        <v>13</v>
      </c>
      <c r="O8" s="36" t="s">
        <v>24</v>
      </c>
      <c r="P8" s="37">
        <f>(H9-I9)/I9</f>
        <v>4.761904761904779E-2</v>
      </c>
      <c r="Q8" s="38" t="str">
        <f>IF(OR(P8&lt;=-33%, P8&gt;=33%),"unusual","ok")</f>
        <v>ok</v>
      </c>
      <c r="R8"/>
      <c r="S8"/>
      <c r="T8"/>
      <c r="U8" s="9"/>
      <c r="V8" s="39"/>
      <c r="AI8"/>
    </row>
    <row r="9" spans="1:39" x14ac:dyDescent="0.25">
      <c r="B9" s="7"/>
      <c r="C9" s="19" t="s">
        <v>25</v>
      </c>
      <c r="D9" s="43"/>
      <c r="E9" s="43"/>
      <c r="F9" s="12"/>
      <c r="G9" s="20"/>
      <c r="H9" s="44">
        <v>1072.8715636363636</v>
      </c>
      <c r="I9" s="44">
        <v>1024.1046743801651</v>
      </c>
      <c r="J9" s="21">
        <v>865.8339519759578</v>
      </c>
      <c r="M9" s="7"/>
      <c r="N9" s="8" t="s">
        <v>13</v>
      </c>
      <c r="O9" s="36" t="s">
        <v>26</v>
      </c>
      <c r="P9" s="37">
        <f>T9/H29</f>
        <v>6.4734488831815429E-2</v>
      </c>
      <c r="Q9" s="38" t="str">
        <f>IF(P9&gt;=15%,"unusual","ok")</f>
        <v>ok</v>
      </c>
      <c r="R9" s="45" t="s">
        <v>27</v>
      </c>
      <c r="S9" s="38" t="s">
        <v>28</v>
      </c>
      <c r="T9" s="46">
        <f>(SUM(H13:H14)/SUM(H11:H12))*H26</f>
        <v>16.285499999999999</v>
      </c>
      <c r="U9" s="9"/>
      <c r="V9" s="39"/>
      <c r="AI9"/>
      <c r="AM9" s="55"/>
    </row>
    <row r="10" spans="1:39" x14ac:dyDescent="0.25">
      <c r="B10" s="7"/>
      <c r="C10" s="18" t="s">
        <v>29</v>
      </c>
      <c r="D10" s="40"/>
      <c r="E10" s="40"/>
      <c r="F10" s="41"/>
      <c r="G10" s="11"/>
      <c r="H10" s="42">
        <v>71.740799999999993</v>
      </c>
      <c r="I10" s="42">
        <v>47.555454545454552</v>
      </c>
      <c r="J10" s="22">
        <v>50.025867768595035</v>
      </c>
      <c r="M10" s="7"/>
      <c r="N10" s="8" t="s">
        <v>13</v>
      </c>
      <c r="O10"/>
      <c r="P10" s="37"/>
      <c r="Q10" s="36"/>
      <c r="R10"/>
      <c r="S10"/>
      <c r="T10"/>
      <c r="U10" s="9"/>
      <c r="V10" s="39"/>
      <c r="AI10"/>
    </row>
    <row r="11" spans="1:39" x14ac:dyDescent="0.25">
      <c r="B11" s="7"/>
      <c r="C11" s="14" t="s">
        <v>30</v>
      </c>
      <c r="D11" s="34"/>
      <c r="E11" s="34"/>
      <c r="F11" s="17"/>
      <c r="G11" s="15"/>
      <c r="H11" s="35">
        <v>139.59</v>
      </c>
      <c r="I11" s="35">
        <v>96.136363636363598</v>
      </c>
      <c r="J11" s="16">
        <v>223.73553719008262</v>
      </c>
      <c r="M11" s="7"/>
      <c r="N11" s="8" t="s">
        <v>13</v>
      </c>
      <c r="O11" s="36" t="s">
        <v>31</v>
      </c>
      <c r="P11" s="37">
        <f>T11+T12-T13</f>
        <v>0.96796771975519891</v>
      </c>
      <c r="Q11" s="47" t="str">
        <f>IF(P11&lt;100%,"usual","not ok")</f>
        <v>usual</v>
      </c>
      <c r="R11" s="45" t="s">
        <v>27</v>
      </c>
      <c r="S11" s="38" t="s">
        <v>32</v>
      </c>
      <c r="T11" s="48">
        <f>(SUM(H16:I16)+SUM(H17:I17))/SUM(H7:I7)</f>
        <v>0.88593592483598427</v>
      </c>
      <c r="U11" s="48"/>
      <c r="V11" s="48"/>
      <c r="AI11"/>
      <c r="AM11" s="55"/>
    </row>
    <row r="12" spans="1:39" x14ac:dyDescent="0.25">
      <c r="B12" s="7"/>
      <c r="C12" s="18" t="s">
        <v>33</v>
      </c>
      <c r="D12" s="40"/>
      <c r="E12" s="40"/>
      <c r="F12" s="41"/>
      <c r="G12" s="11"/>
      <c r="H12" s="42">
        <v>232.65</v>
      </c>
      <c r="I12" s="42">
        <v>160.22727272727266</v>
      </c>
      <c r="J12" s="22">
        <v>372.89256198347107</v>
      </c>
      <c r="M12" s="7"/>
      <c r="N12" s="8" t="s">
        <v>13</v>
      </c>
      <c r="O12" s="36" t="s">
        <v>34</v>
      </c>
      <c r="P12" s="49">
        <f>2*H10/(SUM(H19:I19)+SUM(H20:I20)-SUM(H28:I28)-H10)</f>
        <v>5.1256410013558157E-2</v>
      </c>
      <c r="Q12" s="47" t="str">
        <f>IF(AND(P12&gt;2%,P12&lt;5.5%),"usual","not ok")</f>
        <v>usual</v>
      </c>
      <c r="R12"/>
      <c r="S12" s="38" t="s">
        <v>35</v>
      </c>
      <c r="T12" s="48">
        <f>(SUM(H18:I18)-SUM(H15:I15))/SUM(H9:I9)</f>
        <v>0.13985237145997007</v>
      </c>
      <c r="U12" s="48"/>
      <c r="V12" s="39"/>
      <c r="AI12"/>
      <c r="AM12" s="55"/>
    </row>
    <row r="13" spans="1:39" x14ac:dyDescent="0.25">
      <c r="B13" s="7"/>
      <c r="C13" s="18" t="s">
        <v>36</v>
      </c>
      <c r="D13" s="40"/>
      <c r="E13" s="40"/>
      <c r="F13" s="41"/>
      <c r="G13" s="11"/>
      <c r="H13" s="42">
        <v>40.713749999999997</v>
      </c>
      <c r="I13" s="42">
        <v>28.039772727272716</v>
      </c>
      <c r="J13" s="22">
        <v>65.256198347107429</v>
      </c>
      <c r="M13" s="7"/>
      <c r="N13" s="8" t="s">
        <v>13</v>
      </c>
      <c r="O13" s="36" t="s">
        <v>37</v>
      </c>
      <c r="P13" s="49">
        <f>(H29-I29)/I29</f>
        <v>-0.14049315068493165</v>
      </c>
      <c r="Q13" s="47" t="str">
        <f>IF(AND(P13&gt;-10%,P13&lt;50%),"usual","not ok")</f>
        <v>not ok</v>
      </c>
      <c r="R13"/>
      <c r="S13" s="38" t="s">
        <v>38</v>
      </c>
      <c r="T13" s="48">
        <f>SUM(H10:I10)/SUM(H7:I7)</f>
        <v>5.7820576540755474E-2</v>
      </c>
      <c r="U13" s="48"/>
      <c r="V13" s="39"/>
      <c r="AI13"/>
      <c r="AL13" s="55"/>
      <c r="AM13" s="55"/>
    </row>
    <row r="14" spans="1:39" x14ac:dyDescent="0.25">
      <c r="B14" s="7"/>
      <c r="C14" s="19" t="s">
        <v>39</v>
      </c>
      <c r="D14" s="43"/>
      <c r="E14" s="43"/>
      <c r="F14" s="12"/>
      <c r="G14" s="20"/>
      <c r="H14" s="44">
        <v>24.428249999999998</v>
      </c>
      <c r="I14" s="44">
        <v>16.82386363636363</v>
      </c>
      <c r="J14" s="21">
        <v>39.15371900826446</v>
      </c>
      <c r="M14" s="7"/>
      <c r="N14" s="8" t="s">
        <v>13</v>
      </c>
      <c r="O14" s="36" t="s">
        <v>40</v>
      </c>
      <c r="P14" s="49">
        <f>(H29-I29-H30)/I29</f>
        <v>-0.14049315068493165</v>
      </c>
      <c r="Q14" s="47" t="str">
        <f>IF(AND(P14&gt;-10%,P14&lt;25%),"usual","not ok")</f>
        <v>not ok</v>
      </c>
      <c r="R14"/>
      <c r="S14"/>
      <c r="T14"/>
      <c r="U14" s="9"/>
      <c r="V14" s="39"/>
      <c r="AI14"/>
    </row>
    <row r="15" spans="1:39" x14ac:dyDescent="0.25">
      <c r="B15" s="7"/>
      <c r="C15" s="18" t="s">
        <v>41</v>
      </c>
      <c r="D15" s="40"/>
      <c r="E15" s="40"/>
      <c r="F15" s="41"/>
      <c r="G15" s="11"/>
      <c r="H15" s="42">
        <v>41.89662719999999</v>
      </c>
      <c r="I15" s="42">
        <v>25.828318472727275</v>
      </c>
      <c r="J15" s="22">
        <v>23.95638755702479</v>
      </c>
      <c r="M15" s="7"/>
      <c r="N15" s="8" t="s">
        <v>13</v>
      </c>
      <c r="O15"/>
      <c r="P15" s="37"/>
      <c r="Q15" s="36"/>
      <c r="R15"/>
      <c r="S15"/>
      <c r="T15"/>
      <c r="U15" s="9"/>
      <c r="V15" s="48"/>
      <c r="AI15"/>
    </row>
    <row r="16" spans="1:39" x14ac:dyDescent="0.25">
      <c r="B16" s="7"/>
      <c r="C16" s="14" t="s">
        <v>42</v>
      </c>
      <c r="D16" s="34"/>
      <c r="E16" s="34"/>
      <c r="F16" s="17"/>
      <c r="G16" s="15"/>
      <c r="H16" s="35">
        <v>933.98400000000004</v>
      </c>
      <c r="I16" s="35">
        <v>871.63636363636363</v>
      </c>
      <c r="J16" s="16">
        <v>454.92892561983467</v>
      </c>
      <c r="M16" s="7"/>
      <c r="N16" s="8" t="s">
        <v>13</v>
      </c>
      <c r="O16" s="36" t="s">
        <v>43</v>
      </c>
      <c r="P16" s="37">
        <f>(H24-H23)/H21</f>
        <v>0.95196425211665092</v>
      </c>
      <c r="Q16" s="47" t="str">
        <f>IF(P16&lt;100%,"usual","not ok")</f>
        <v>usual</v>
      </c>
      <c r="R16"/>
      <c r="S16"/>
      <c r="T16"/>
      <c r="U16" s="9"/>
      <c r="V16" s="39"/>
      <c r="AI16"/>
    </row>
    <row r="17" spans="1:35" x14ac:dyDescent="0.25">
      <c r="B17" s="7"/>
      <c r="C17" s="18" t="s">
        <v>44</v>
      </c>
      <c r="D17" s="40"/>
      <c r="E17" s="40"/>
      <c r="F17" s="41"/>
      <c r="G17" s="11"/>
      <c r="H17" s="42">
        <v>13.522853836799998</v>
      </c>
      <c r="I17" s="42">
        <v>8.7326689891636367</v>
      </c>
      <c r="J17" s="22">
        <v>8.8038883837487596</v>
      </c>
      <c r="M17" s="7"/>
      <c r="N17" s="8" t="s">
        <v>13</v>
      </c>
      <c r="O17" s="36" t="s">
        <v>45</v>
      </c>
      <c r="P17" s="37">
        <f>H22/H29</f>
        <v>0.35309721180990233</v>
      </c>
      <c r="Q17" s="47" t="str">
        <f>IF(P17&lt;40%,"usual","not ok")</f>
        <v>usual</v>
      </c>
      <c r="R17"/>
      <c r="S17"/>
      <c r="T17"/>
      <c r="U17" s="9"/>
      <c r="V17" s="39"/>
      <c r="AI17"/>
    </row>
    <row r="18" spans="1:35" x14ac:dyDescent="0.25">
      <c r="B18" s="7"/>
      <c r="C18" s="18" t="s">
        <v>46</v>
      </c>
      <c r="D18" s="40"/>
      <c r="E18" s="40"/>
      <c r="F18" s="41"/>
      <c r="G18" s="11"/>
      <c r="H18" s="42">
        <v>199.16249999999999</v>
      </c>
      <c r="I18" s="42">
        <v>161.82954545454544</v>
      </c>
      <c r="J18" s="22">
        <v>148.57438016528923</v>
      </c>
      <c r="M18" s="7"/>
      <c r="N18" s="8" t="s">
        <v>13</v>
      </c>
      <c r="O18"/>
      <c r="P18" s="37"/>
      <c r="Q18" s="36"/>
      <c r="R18"/>
      <c r="S18"/>
      <c r="T18"/>
      <c r="U18" s="9"/>
      <c r="V18" s="39"/>
      <c r="AI18"/>
    </row>
    <row r="19" spans="1:35" x14ac:dyDescent="0.25">
      <c r="B19" s="7"/>
      <c r="C19" s="18" t="s">
        <v>47</v>
      </c>
      <c r="D19" s="40"/>
      <c r="E19" s="40"/>
      <c r="F19" s="41"/>
      <c r="G19" s="11"/>
      <c r="H19" s="42">
        <v>1498.83</v>
      </c>
      <c r="I19" s="42">
        <v>1362.572727272727</v>
      </c>
      <c r="J19" s="22">
        <v>1238.7024793388427</v>
      </c>
      <c r="M19" s="7"/>
      <c r="N19" s="8" t="s">
        <v>13</v>
      </c>
      <c r="O19" s="36" t="s">
        <v>48</v>
      </c>
      <c r="P19" s="50">
        <f>H31/I29</f>
        <v>0.16359317520933342</v>
      </c>
      <c r="Q19" s="47" t="str">
        <f>IF(P19&lt;20%,"usual","not ok")</f>
        <v>usual</v>
      </c>
      <c r="R19"/>
      <c r="S19"/>
      <c r="T19"/>
      <c r="U19" s="9"/>
      <c r="V19" s="39"/>
      <c r="AI19"/>
    </row>
    <row r="20" spans="1:35" x14ac:dyDescent="0.25">
      <c r="B20" s="7"/>
      <c r="C20" s="18" t="s">
        <v>49</v>
      </c>
      <c r="D20" s="40"/>
      <c r="E20" s="40"/>
      <c r="F20" s="41"/>
      <c r="G20" s="11"/>
      <c r="H20" s="42">
        <v>6.7614269183999989</v>
      </c>
      <c r="I20" s="42">
        <v>4.3663344945818183</v>
      </c>
      <c r="J20" s="22">
        <v>4.4019441918743798</v>
      </c>
      <c r="M20" s="7"/>
      <c r="N20" s="8" t="s">
        <v>13</v>
      </c>
      <c r="O20" s="36" t="s">
        <v>50</v>
      </c>
      <c r="P20" s="50">
        <f>H32/J29</f>
        <v>1.3465892415412355</v>
      </c>
      <c r="Q20" s="47" t="str">
        <f>IF(P20&lt;20%,"usual","not ok")</f>
        <v>not ok</v>
      </c>
      <c r="R20"/>
      <c r="S20"/>
      <c r="T20"/>
      <c r="U20" s="9"/>
      <c r="V20" s="39"/>
      <c r="AI20"/>
    </row>
    <row r="21" spans="1:35" x14ac:dyDescent="0.25">
      <c r="B21" s="7"/>
      <c r="C21" s="18" t="s">
        <v>51</v>
      </c>
      <c r="D21" s="40"/>
      <c r="E21" s="40"/>
      <c r="F21" s="41"/>
      <c r="G21" s="11"/>
      <c r="H21" s="42">
        <v>2997.66</v>
      </c>
      <c r="I21" s="42">
        <v>2725.145454545454</v>
      </c>
      <c r="J21" s="22">
        <v>2477.4049586776855</v>
      </c>
      <c r="M21" s="7"/>
      <c r="N21" s="8" t="s">
        <v>13</v>
      </c>
      <c r="O21" s="36" t="s">
        <v>52</v>
      </c>
      <c r="P21" s="37">
        <f>T21/H29</f>
        <v>1.1388295885341932</v>
      </c>
      <c r="Q21" s="47" t="str">
        <f>IF(P21&lt;25%,"usual","not ok")</f>
        <v>not ok</v>
      </c>
      <c r="R21" s="45" t="s">
        <v>27</v>
      </c>
      <c r="S21" s="38" t="s">
        <v>53</v>
      </c>
      <c r="T21" s="52">
        <f>T22-H27</f>
        <v>286.49966345232798</v>
      </c>
      <c r="U21" s="9"/>
      <c r="V21" s="39"/>
      <c r="AI21"/>
    </row>
    <row r="22" spans="1:35" x14ac:dyDescent="0.25">
      <c r="B22" s="7"/>
      <c r="C22" s="18" t="s">
        <v>54</v>
      </c>
      <c r="D22" s="40"/>
      <c r="E22" s="40"/>
      <c r="F22" s="41"/>
      <c r="G22" s="11"/>
      <c r="H22" s="42">
        <v>88.83</v>
      </c>
      <c r="I22" s="42">
        <v>0</v>
      </c>
      <c r="J22" s="22">
        <v>0</v>
      </c>
      <c r="M22" s="7"/>
      <c r="N22" s="8" t="s">
        <v>13</v>
      </c>
      <c r="O22"/>
      <c r="P22"/>
      <c r="Q22"/>
      <c r="R22"/>
      <c r="S22" s="38" t="s">
        <v>55</v>
      </c>
      <c r="T22" s="52">
        <f>T23*H7</f>
        <v>610.79966345232799</v>
      </c>
      <c r="U22" s="9"/>
      <c r="V22" s="9"/>
      <c r="X22" s="51"/>
      <c r="AI22"/>
    </row>
    <row r="23" spans="1:35" x14ac:dyDescent="0.25">
      <c r="B23" s="7"/>
      <c r="C23" s="19" t="s">
        <v>56</v>
      </c>
      <c r="D23" s="43"/>
      <c r="E23" s="43"/>
      <c r="F23" s="12"/>
      <c r="G23" s="20"/>
      <c r="H23" s="44">
        <v>32.481887999999998</v>
      </c>
      <c r="I23" s="44">
        <v>0</v>
      </c>
      <c r="J23" s="21">
        <v>0</v>
      </c>
      <c r="M23" s="7"/>
      <c r="N23" s="8" t="s">
        <v>13</v>
      </c>
      <c r="O23"/>
      <c r="P23"/>
      <c r="Q23"/>
      <c r="R23"/>
      <c r="S23" s="38" t="s">
        <v>57</v>
      </c>
      <c r="T23" s="53">
        <f>AVERAGE(W23,W24)</f>
        <v>0.58857506885245914</v>
      </c>
      <c r="U23" s="45" t="s">
        <v>27</v>
      </c>
      <c r="V23" s="54" t="s">
        <v>58</v>
      </c>
      <c r="W23" s="51">
        <f>(I27+H31)/I7</f>
        <v>0.35919440000000002</v>
      </c>
      <c r="X23" s="51"/>
      <c r="AI23"/>
    </row>
    <row r="24" spans="1:35" x14ac:dyDescent="0.25">
      <c r="B24" s="7"/>
      <c r="C24" s="18" t="s">
        <v>59</v>
      </c>
      <c r="D24" s="40"/>
      <c r="E24" s="40"/>
      <c r="F24" s="41"/>
      <c r="G24" s="11"/>
      <c r="H24" s="42">
        <v>2886.1470479999994</v>
      </c>
      <c r="I24" s="42">
        <v>3008.2880672727265</v>
      </c>
      <c r="J24" s="22">
        <v>2590.8701057851235</v>
      </c>
      <c r="M24" s="7"/>
      <c r="N24" s="8" t="s">
        <v>13</v>
      </c>
      <c r="O24" s="7"/>
      <c r="P24" s="7"/>
      <c r="Q24" s="7"/>
      <c r="R24" s="7"/>
      <c r="S24" s="7"/>
      <c r="T24" s="7"/>
      <c r="U24"/>
      <c r="V24" s="54" t="s">
        <v>60</v>
      </c>
      <c r="W24" s="51">
        <f>(J27+H32)/J7</f>
        <v>0.81795573770491814</v>
      </c>
      <c r="X24" s="9"/>
      <c r="AI24"/>
    </row>
    <row r="25" spans="1:35" x14ac:dyDescent="0.25">
      <c r="B25" s="7"/>
      <c r="C25" s="14" t="s">
        <v>61</v>
      </c>
      <c r="D25" s="34"/>
      <c r="E25" s="34"/>
      <c r="F25" s="17"/>
      <c r="G25" s="15"/>
      <c r="H25" s="35">
        <v>69.795000000000002</v>
      </c>
      <c r="I25" s="35">
        <v>0</v>
      </c>
      <c r="J25" s="16">
        <v>0</v>
      </c>
      <c r="M25" s="7"/>
      <c r="N25" s="8" t="s">
        <v>13</v>
      </c>
      <c r="O25" s="9"/>
      <c r="P25" s="9"/>
      <c r="Q25" s="9"/>
      <c r="R25" s="9"/>
      <c r="S25" s="9"/>
      <c r="T25" s="9"/>
      <c r="U25" s="9"/>
      <c r="V25" s="9"/>
      <c r="W25" s="9"/>
      <c r="X25" s="9"/>
    </row>
    <row r="26" spans="1:35" x14ac:dyDescent="0.25">
      <c r="B26" s="7"/>
      <c r="C26" s="18" t="s">
        <v>62</v>
      </c>
      <c r="D26" s="40"/>
      <c r="E26" s="40"/>
      <c r="F26" s="41"/>
      <c r="G26" s="11"/>
      <c r="H26" s="42">
        <v>93.06</v>
      </c>
      <c r="I26" s="42">
        <v>0</v>
      </c>
      <c r="J26" s="22">
        <v>0</v>
      </c>
      <c r="M26" s="7"/>
      <c r="N26" s="8" t="s">
        <v>13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35" x14ac:dyDescent="0.25">
      <c r="B27" s="7"/>
      <c r="C27" s="14" t="s">
        <v>63</v>
      </c>
      <c r="D27" s="34"/>
      <c r="E27" s="34"/>
      <c r="F27" s="17"/>
      <c r="G27" s="15"/>
      <c r="H27" s="35">
        <v>324.3</v>
      </c>
      <c r="I27" s="35">
        <v>320.4545454545455</v>
      </c>
      <c r="J27" s="16">
        <v>177.7066115702479</v>
      </c>
      <c r="M27" s="7"/>
      <c r="N27" s="8" t="s">
        <v>13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35" x14ac:dyDescent="0.25">
      <c r="B28" s="7"/>
      <c r="C28" s="18" t="s">
        <v>64</v>
      </c>
      <c r="D28" s="40"/>
      <c r="E28" s="40"/>
      <c r="F28" s="41"/>
      <c r="G28" s="11"/>
      <c r="H28" s="42">
        <v>1.4988299999999999</v>
      </c>
      <c r="I28" s="42">
        <v>0</v>
      </c>
      <c r="J28" s="22">
        <v>0</v>
      </c>
      <c r="M28" s="7"/>
      <c r="N28" s="8" t="s">
        <v>13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35" x14ac:dyDescent="0.25">
      <c r="A29" s="9"/>
      <c r="B29" s="7"/>
      <c r="C29" s="18" t="s">
        <v>66</v>
      </c>
      <c r="D29" s="40"/>
      <c r="E29" s="40"/>
      <c r="F29" s="41"/>
      <c r="G29" s="11"/>
      <c r="H29" s="42">
        <v>251.57377919999999</v>
      </c>
      <c r="I29" s="42">
        <v>292.69549090909095</v>
      </c>
      <c r="J29" s="22">
        <v>213.45265190082642</v>
      </c>
      <c r="M29" s="7"/>
      <c r="N29" s="8" t="s">
        <v>13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35" x14ac:dyDescent="0.25">
      <c r="B30" s="7"/>
      <c r="C30" s="19" t="s">
        <v>65</v>
      </c>
      <c r="D30" s="43"/>
      <c r="E30" s="43"/>
      <c r="F30" s="12"/>
      <c r="G30" s="20"/>
      <c r="H30" s="44">
        <v>0</v>
      </c>
      <c r="I30" s="44">
        <v>36.573618003814396</v>
      </c>
      <c r="J30" s="21">
        <v>0</v>
      </c>
      <c r="M30" s="7"/>
      <c r="N30" s="8" t="s">
        <v>13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35" x14ac:dyDescent="0.25">
      <c r="A31" s="9"/>
      <c r="B31" s="7"/>
      <c r="C31" s="14" t="s">
        <v>67</v>
      </c>
      <c r="D31" s="34"/>
      <c r="E31" s="34"/>
      <c r="F31" s="17"/>
      <c r="G31" s="15"/>
      <c r="H31" s="35">
        <v>47.88298472727277</v>
      </c>
      <c r="I31" s="35">
        <v>320.03131239669426</v>
      </c>
      <c r="J31" s="16">
        <v>0</v>
      </c>
      <c r="M31" s="7"/>
      <c r="N31" s="8" t="s">
        <v>13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35" x14ac:dyDescent="0.25">
      <c r="A32" s="9"/>
      <c r="B32" s="7"/>
      <c r="C32" s="19" t="s">
        <v>68</v>
      </c>
      <c r="D32" s="43"/>
      <c r="E32" s="43"/>
      <c r="F32" s="12"/>
      <c r="G32" s="20"/>
      <c r="H32" s="44">
        <v>287.4330446280992</v>
      </c>
      <c r="I32" s="44">
        <v>0</v>
      </c>
      <c r="J32" s="21">
        <v>0</v>
      </c>
      <c r="M32" s="7"/>
      <c r="N32" s="8" t="s">
        <v>13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13" x14ac:dyDescent="0.25">
      <c r="C33" s="7"/>
      <c r="D33" s="7"/>
      <c r="E33" s="7"/>
      <c r="F33" s="7"/>
      <c r="G33" s="7"/>
      <c r="H33" s="7"/>
      <c r="I33" s="7"/>
      <c r="J33" s="7"/>
      <c r="K33" s="7"/>
      <c r="L33" s="7"/>
      <c r="M33" s="9"/>
    </row>
    <row r="34" spans="1:13" x14ac:dyDescent="0.25">
      <c r="C34" s="7"/>
      <c r="D34" s="7"/>
      <c r="E34" s="7"/>
      <c r="F34" s="7"/>
      <c r="G34" s="7"/>
      <c r="H34" s="7"/>
      <c r="I34" s="7"/>
      <c r="J34" s="7"/>
      <c r="K34" s="7"/>
      <c r="L34" s="7"/>
      <c r="M34" s="9"/>
    </row>
    <row r="35" spans="1:13" x14ac:dyDescent="0.25">
      <c r="A35" s="5" t="s">
        <v>70</v>
      </c>
      <c r="C35" s="13" t="s">
        <v>71</v>
      </c>
      <c r="D35" s="7"/>
      <c r="E35" s="7"/>
      <c r="F35" s="7"/>
      <c r="G35" s="7"/>
      <c r="H35" s="7"/>
      <c r="I35" s="7"/>
      <c r="J35" s="7"/>
      <c r="K35" s="7"/>
      <c r="L35" s="7"/>
      <c r="M35" s="9"/>
    </row>
    <row r="36" spans="1:13" x14ac:dyDescent="0.25">
      <c r="C36" s="7"/>
      <c r="D36" s="7"/>
      <c r="E36" s="7"/>
      <c r="F36" s="7"/>
      <c r="G36" s="7"/>
      <c r="H36" s="7"/>
      <c r="I36" s="7"/>
      <c r="J36" s="7"/>
      <c r="K36" s="7"/>
      <c r="L36" s="7"/>
      <c r="M36" s="9"/>
    </row>
    <row r="37" spans="1:13" x14ac:dyDescent="0.25">
      <c r="C37" s="7"/>
      <c r="D37" s="7"/>
      <c r="E37" s="7"/>
      <c r="F37" s="7"/>
      <c r="G37" s="7"/>
      <c r="H37" s="7"/>
      <c r="I37" s="7"/>
      <c r="J37" s="7"/>
      <c r="K37" s="7"/>
      <c r="L37" s="7"/>
      <c r="M37" s="9"/>
    </row>
    <row r="38" spans="1:13" x14ac:dyDescent="0.25">
      <c r="C38" s="7"/>
      <c r="D38" s="7"/>
      <c r="E38" s="7"/>
      <c r="F38" s="7"/>
      <c r="G38" s="7"/>
      <c r="H38" s="7"/>
      <c r="I38" s="7"/>
      <c r="J38" s="7"/>
      <c r="K38" s="7"/>
      <c r="L38" s="7"/>
      <c r="M38" s="9"/>
    </row>
    <row r="39" spans="1:13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</row>
  </sheetData>
  <hyperlinks>
    <hyperlink ref="M1" location="TOC!A1" display="TOC!A1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1"/>
  </sheetPr>
  <dimension ref="A1:AI40"/>
  <sheetViews>
    <sheetView zoomScale="90" zoomScaleNormal="90" workbookViewId="0"/>
  </sheetViews>
  <sheetFormatPr defaultColWidth="9.140625" defaultRowHeight="15" x14ac:dyDescent="0.25"/>
  <cols>
    <col min="1" max="1" width="14" style="6" bestFit="1" customWidth="1"/>
    <col min="2" max="2" width="4.7109375" style="6" customWidth="1"/>
    <col min="3" max="8" width="9.140625" style="6" customWidth="1"/>
    <col min="9" max="9" width="9.140625" style="6"/>
    <col min="10" max="13" width="9.140625" style="6" customWidth="1"/>
    <col min="14" max="16384" width="9.140625" style="6"/>
  </cols>
  <sheetData>
    <row r="1" spans="1:35" x14ac:dyDescent="0.25">
      <c r="A1" s="5" t="s">
        <v>3</v>
      </c>
      <c r="C1" t="s">
        <v>12</v>
      </c>
      <c r="M1" s="26" t="s">
        <v>11</v>
      </c>
      <c r="N1" s="8" t="s">
        <v>13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35" x14ac:dyDescent="0.25">
      <c r="A2" s="5" t="s">
        <v>4</v>
      </c>
      <c r="C2" s="27" t="s">
        <v>14</v>
      </c>
      <c r="M2" s="9"/>
      <c r="N2" s="8" t="s">
        <v>13</v>
      </c>
      <c r="X2" s="7"/>
      <c r="Y2" s="7"/>
      <c r="Z2" s="9"/>
    </row>
    <row r="3" spans="1:35" x14ac:dyDescent="0.25">
      <c r="A3" s="5" t="s">
        <v>5</v>
      </c>
      <c r="C3" s="6" t="s">
        <v>15</v>
      </c>
      <c r="M3" s="9"/>
      <c r="N3" s="8" t="s">
        <v>13</v>
      </c>
      <c r="Z3" s="9"/>
    </row>
    <row r="4" spans="1:35" x14ac:dyDescent="0.25">
      <c r="M4" s="9"/>
      <c r="N4" s="8" t="s">
        <v>13</v>
      </c>
      <c r="Z4" s="9"/>
    </row>
    <row r="5" spans="1:35" x14ac:dyDescent="0.25">
      <c r="A5" s="5" t="s">
        <v>6</v>
      </c>
      <c r="C5" s="28"/>
      <c r="D5" s="29"/>
      <c r="E5" s="30"/>
      <c r="F5" s="30"/>
      <c r="G5" s="31"/>
      <c r="H5" s="32" t="s">
        <v>16</v>
      </c>
      <c r="I5" s="32" t="s">
        <v>17</v>
      </c>
      <c r="J5" s="33" t="s">
        <v>18</v>
      </c>
      <c r="M5" s="9"/>
      <c r="N5" s="8" t="s">
        <v>13</v>
      </c>
      <c r="Z5" s="9"/>
    </row>
    <row r="6" spans="1:35" x14ac:dyDescent="0.25">
      <c r="B6" s="7"/>
      <c r="C6" s="14" t="s">
        <v>19</v>
      </c>
      <c r="D6" s="34"/>
      <c r="E6" s="34"/>
      <c r="F6" s="17"/>
      <c r="G6" s="15"/>
      <c r="H6" s="35">
        <v>1430</v>
      </c>
      <c r="I6" s="35">
        <v>1300</v>
      </c>
      <c r="J6" s="16">
        <v>1181.8181818181818</v>
      </c>
      <c r="M6" s="7"/>
      <c r="N6" s="8" t="s">
        <v>13</v>
      </c>
      <c r="O6" s="36" t="s">
        <v>20</v>
      </c>
      <c r="P6" s="37">
        <f>H8/H29</f>
        <v>4.2383554212198717</v>
      </c>
      <c r="Q6" s="38" t="str">
        <f>IF(P6&gt;=900%,"unusual","ok")</f>
        <v>ok</v>
      </c>
      <c r="R6"/>
      <c r="S6"/>
      <c r="T6"/>
      <c r="U6" s="9"/>
      <c r="V6" s="39"/>
      <c r="W6" s="7"/>
      <c r="AH6"/>
      <c r="AI6"/>
    </row>
    <row r="7" spans="1:35" x14ac:dyDescent="0.25">
      <c r="B7" s="7"/>
      <c r="C7" s="18" t="s">
        <v>21</v>
      </c>
      <c r="D7" s="40"/>
      <c r="E7" s="40"/>
      <c r="F7" s="41"/>
      <c r="G7" s="11"/>
      <c r="H7" s="42">
        <v>858</v>
      </c>
      <c r="I7" s="42">
        <v>936</v>
      </c>
      <c r="J7" s="22">
        <v>888.72727272727275</v>
      </c>
      <c r="M7" s="7"/>
      <c r="N7" s="8" t="s">
        <v>13</v>
      </c>
      <c r="O7" s="36" t="s">
        <v>22</v>
      </c>
      <c r="P7" s="37">
        <f>H9/H29</f>
        <v>2.8130570409982179</v>
      </c>
      <c r="Q7" s="38" t="str">
        <f>IF(P7&gt;=300%,"unusual","ok")</f>
        <v>ok</v>
      </c>
      <c r="R7"/>
      <c r="S7"/>
      <c r="T7"/>
      <c r="U7" s="9"/>
      <c r="V7" s="39"/>
      <c r="AH7"/>
      <c r="AI7"/>
    </row>
    <row r="8" spans="1:35" x14ac:dyDescent="0.25">
      <c r="B8" s="7"/>
      <c r="C8" s="18" t="s">
        <v>23</v>
      </c>
      <c r="D8" s="40"/>
      <c r="E8" s="40"/>
      <c r="F8" s="41"/>
      <c r="G8" s="11"/>
      <c r="H8" s="42">
        <v>1365</v>
      </c>
      <c r="I8" s="42">
        <v>1240.9090909090908</v>
      </c>
      <c r="J8" s="22">
        <v>1128.0991735537189</v>
      </c>
      <c r="M8" s="7"/>
      <c r="N8" s="8" t="s">
        <v>13</v>
      </c>
      <c r="O8" s="36" t="s">
        <v>24</v>
      </c>
      <c r="P8" s="37">
        <f>(H9-I9)/I9</f>
        <v>0.11111111111111108</v>
      </c>
      <c r="Q8" s="38" t="str">
        <f>IF(OR(P8&lt;=-33%, P8&gt;=33%),"unusual","ok")</f>
        <v>ok</v>
      </c>
      <c r="R8"/>
      <c r="S8"/>
      <c r="T8"/>
      <c r="U8" s="9"/>
      <c r="V8" s="39"/>
      <c r="AH8"/>
      <c r="AI8"/>
    </row>
    <row r="9" spans="1:35" x14ac:dyDescent="0.25">
      <c r="B9" s="7"/>
      <c r="C9" s="19" t="s">
        <v>25</v>
      </c>
      <c r="D9" s="43"/>
      <c r="E9" s="43"/>
      <c r="F9" s="12"/>
      <c r="G9" s="20"/>
      <c r="H9" s="44">
        <v>905.97</v>
      </c>
      <c r="I9" s="44">
        <v>815.37300000000005</v>
      </c>
      <c r="J9" s="21">
        <v>719.0107363636364</v>
      </c>
      <c r="M9" s="7"/>
      <c r="N9" s="8" t="s">
        <v>13</v>
      </c>
      <c r="O9" s="36" t="s">
        <v>26</v>
      </c>
      <c r="P9" s="37">
        <f>T9/H29</f>
        <v>7.7703182722364303E-2</v>
      </c>
      <c r="Q9" s="38" t="str">
        <f>IF(P9&gt;=15%,"unusual","ok")</f>
        <v>ok</v>
      </c>
      <c r="R9" s="45" t="s">
        <v>27</v>
      </c>
      <c r="S9" s="38" t="s">
        <v>28</v>
      </c>
      <c r="T9" s="46">
        <f>(SUM(H13:H14)/SUM(H11:H12))*H26</f>
        <v>25.024999999999999</v>
      </c>
      <c r="U9" s="9"/>
      <c r="V9" s="39"/>
      <c r="AH9"/>
      <c r="AI9"/>
    </row>
    <row r="10" spans="1:35" x14ac:dyDescent="0.25">
      <c r="B10" s="7"/>
      <c r="C10" s="18" t="s">
        <v>29</v>
      </c>
      <c r="D10" s="40"/>
      <c r="E10" s="40"/>
      <c r="F10" s="41"/>
      <c r="G10" s="11"/>
      <c r="H10" s="42">
        <v>74.274199999999993</v>
      </c>
      <c r="I10" s="42">
        <v>50.985999999999997</v>
      </c>
      <c r="J10" s="22">
        <v>70.152727272727276</v>
      </c>
      <c r="M10" s="7"/>
      <c r="N10" s="8" t="s">
        <v>13</v>
      </c>
      <c r="O10"/>
      <c r="P10" s="37"/>
      <c r="Q10" s="36"/>
      <c r="R10"/>
      <c r="S10"/>
      <c r="T10"/>
      <c r="U10" s="9"/>
      <c r="V10" s="39"/>
      <c r="AH10"/>
      <c r="AI10"/>
    </row>
    <row r="11" spans="1:35" x14ac:dyDescent="0.25">
      <c r="B11" s="7"/>
      <c r="C11" s="14" t="s">
        <v>30</v>
      </c>
      <c r="D11" s="34"/>
      <c r="E11" s="34"/>
      <c r="F11" s="17"/>
      <c r="G11" s="15"/>
      <c r="H11" s="35">
        <v>214.5</v>
      </c>
      <c r="I11" s="35">
        <v>136.5</v>
      </c>
      <c r="J11" s="16">
        <v>109.90909090909088</v>
      </c>
      <c r="M11" s="7"/>
      <c r="N11" s="8" t="s">
        <v>13</v>
      </c>
      <c r="O11" s="36" t="s">
        <v>31</v>
      </c>
      <c r="P11" s="37">
        <f>T11+T12-T13</f>
        <v>0.98779813893495128</v>
      </c>
      <c r="Q11" s="47" t="str">
        <f>IF(P11&lt;100%,"usual","not ok")</f>
        <v>usual</v>
      </c>
      <c r="R11" s="45" t="s">
        <v>27</v>
      </c>
      <c r="S11" s="38" t="s">
        <v>32</v>
      </c>
      <c r="T11" s="48">
        <f>(SUM(H16:I16)+SUM(H17:I17))/SUM(H7:I7)</f>
        <v>0.88659063705066676</v>
      </c>
      <c r="U11" s="48"/>
      <c r="V11" s="48"/>
      <c r="AH11"/>
      <c r="AI11"/>
    </row>
    <row r="12" spans="1:35" x14ac:dyDescent="0.25">
      <c r="B12" s="7"/>
      <c r="C12" s="18" t="s">
        <v>33</v>
      </c>
      <c r="D12" s="40"/>
      <c r="E12" s="40"/>
      <c r="F12" s="41"/>
      <c r="G12" s="11"/>
      <c r="H12" s="42">
        <v>357.5</v>
      </c>
      <c r="I12" s="42">
        <v>227.5</v>
      </c>
      <c r="J12" s="22">
        <v>183.18181818181813</v>
      </c>
      <c r="M12" s="7"/>
      <c r="N12" s="8" t="s">
        <v>13</v>
      </c>
      <c r="O12" s="36" t="s">
        <v>34</v>
      </c>
      <c r="P12" s="49">
        <f>2*H10/(SUM(H19:I19)+SUM(H20:I20)-SUM(H28:I28)-H10)</f>
        <v>5.2350613474886364E-2</v>
      </c>
      <c r="Q12" s="47" t="str">
        <f>IF(AND(P12&gt;2%,P12&lt;5.5%),"usual","not ok")</f>
        <v>usual</v>
      </c>
      <c r="R12"/>
      <c r="S12" s="38" t="s">
        <v>35</v>
      </c>
      <c r="T12" s="48">
        <f>(SUM(H18:I18)-SUM(H15:I15))/SUM(H9:I9)</f>
        <v>0.17102924101471934</v>
      </c>
      <c r="U12" s="48"/>
      <c r="V12" s="39"/>
      <c r="AH12"/>
      <c r="AI12"/>
    </row>
    <row r="13" spans="1:35" x14ac:dyDescent="0.25">
      <c r="B13" s="7"/>
      <c r="C13" s="18" t="s">
        <v>36</v>
      </c>
      <c r="D13" s="40"/>
      <c r="E13" s="40"/>
      <c r="F13" s="41"/>
      <c r="G13" s="11"/>
      <c r="H13" s="42">
        <v>62.5625</v>
      </c>
      <c r="I13" s="42">
        <v>39.8125</v>
      </c>
      <c r="J13" s="22">
        <v>32.056818181818173</v>
      </c>
      <c r="M13" s="7"/>
      <c r="N13" s="8" t="s">
        <v>13</v>
      </c>
      <c r="O13" s="36" t="s">
        <v>37</v>
      </c>
      <c r="P13" s="49">
        <f>(H29-I29)/I29</f>
        <v>4.7619047619047505E-2</v>
      </c>
      <c r="Q13" s="47" t="str">
        <f>IF(AND(P13&gt;-10%,P13&lt;50%),"usual","not ok")</f>
        <v>usual</v>
      </c>
      <c r="R13"/>
      <c r="S13" s="38" t="s">
        <v>38</v>
      </c>
      <c r="T13" s="48">
        <f>SUM(H10:I10)/SUM(H7:I7)</f>
        <v>6.9821739130434782E-2</v>
      </c>
      <c r="U13" s="48"/>
      <c r="V13" s="39"/>
      <c r="AH13"/>
      <c r="AI13"/>
    </row>
    <row r="14" spans="1:35" x14ac:dyDescent="0.25">
      <c r="B14" s="7"/>
      <c r="C14" s="19" t="s">
        <v>39</v>
      </c>
      <c r="D14" s="43"/>
      <c r="E14" s="43"/>
      <c r="F14" s="12"/>
      <c r="G14" s="20"/>
      <c r="H14" s="44">
        <v>37.537499999999994</v>
      </c>
      <c r="I14" s="44">
        <v>23.887499999999999</v>
      </c>
      <c r="J14" s="21">
        <v>19.234090909090902</v>
      </c>
      <c r="M14" s="7"/>
      <c r="N14" s="8" t="s">
        <v>13</v>
      </c>
      <c r="O14" s="36" t="s">
        <v>40</v>
      </c>
      <c r="P14" s="49">
        <f>(H29-I29-H30)/I29</f>
        <v>2.5641025641025578E-2</v>
      </c>
      <c r="Q14" s="47" t="str">
        <f>IF(AND(P14&gt;-10%,P14&lt;25%),"usual","not ok")</f>
        <v>usual</v>
      </c>
      <c r="R14"/>
      <c r="S14"/>
      <c r="T14"/>
      <c r="U14" s="9"/>
      <c r="V14" s="39"/>
      <c r="AH14"/>
      <c r="AI14"/>
    </row>
    <row r="15" spans="1:35" x14ac:dyDescent="0.25">
      <c r="B15" s="7"/>
      <c r="C15" s="18" t="s">
        <v>41</v>
      </c>
      <c r="D15" s="40"/>
      <c r="E15" s="40"/>
      <c r="F15" s="41"/>
      <c r="G15" s="11"/>
      <c r="H15" s="42">
        <v>38.170996863999996</v>
      </c>
      <c r="I15" s="42">
        <v>27.691516319999995</v>
      </c>
      <c r="J15" s="22">
        <v>34.823813818181819</v>
      </c>
      <c r="M15" s="7"/>
      <c r="N15" s="8" t="s">
        <v>13</v>
      </c>
      <c r="O15"/>
      <c r="P15" s="37"/>
      <c r="Q15" s="36"/>
      <c r="R15"/>
      <c r="S15"/>
      <c r="T15"/>
      <c r="U15" s="9"/>
      <c r="V15" s="48"/>
      <c r="AH15"/>
      <c r="AI15"/>
    </row>
    <row r="16" spans="1:35" x14ac:dyDescent="0.25">
      <c r="B16" s="7"/>
      <c r="C16" s="14" t="s">
        <v>42</v>
      </c>
      <c r="D16" s="34"/>
      <c r="E16" s="34"/>
      <c r="F16" s="17"/>
      <c r="G16" s="15"/>
      <c r="H16" s="35">
        <v>772.2</v>
      </c>
      <c r="I16" s="35">
        <v>795.6</v>
      </c>
      <c r="J16" s="16">
        <v>710.9818181818182</v>
      </c>
      <c r="M16" s="7"/>
      <c r="N16" s="8" t="s">
        <v>13</v>
      </c>
      <c r="O16" s="36" t="s">
        <v>43</v>
      </c>
      <c r="P16" s="37">
        <f>(H24-H23)/H21</f>
        <v>1.0203665098777044</v>
      </c>
      <c r="Q16" s="47" t="str">
        <f>IF(P16&lt;100%,"usual","not ok")</f>
        <v>not ok</v>
      </c>
      <c r="R16"/>
      <c r="S16"/>
      <c r="T16"/>
      <c r="U16" s="9"/>
      <c r="V16" s="39"/>
      <c r="AH16"/>
      <c r="AI16"/>
    </row>
    <row r="17" spans="1:35" x14ac:dyDescent="0.25">
      <c r="B17" s="7"/>
      <c r="C17" s="18" t="s">
        <v>44</v>
      </c>
      <c r="D17" s="40"/>
      <c r="E17" s="40"/>
      <c r="F17" s="41"/>
      <c r="G17" s="11"/>
      <c r="H17" s="42">
        <v>13.380978426815998</v>
      </c>
      <c r="I17" s="42">
        <v>9.3626244420799996</v>
      </c>
      <c r="J17" s="22">
        <v>12.492208389818181</v>
      </c>
      <c r="M17" s="7"/>
      <c r="N17" s="8" t="s">
        <v>13</v>
      </c>
      <c r="O17" s="36" t="s">
        <v>45</v>
      </c>
      <c r="P17" s="37">
        <f>H22/H29</f>
        <v>0.27973145780051151</v>
      </c>
      <c r="Q17" s="47" t="str">
        <f>IF(P17&lt;40%,"usual","not ok")</f>
        <v>usual</v>
      </c>
      <c r="R17"/>
      <c r="S17"/>
      <c r="T17"/>
      <c r="U17" s="9"/>
      <c r="V17" s="39"/>
      <c r="AH17"/>
      <c r="AI17"/>
    </row>
    <row r="18" spans="1:35" x14ac:dyDescent="0.25">
      <c r="B18" s="7"/>
      <c r="C18" s="18" t="s">
        <v>46</v>
      </c>
      <c r="D18" s="40"/>
      <c r="E18" s="40"/>
      <c r="F18" s="41"/>
      <c r="G18" s="11"/>
      <c r="H18" s="42">
        <v>191.26249999999999</v>
      </c>
      <c r="I18" s="42">
        <v>169</v>
      </c>
      <c r="J18" s="22">
        <v>150.68181818181819</v>
      </c>
      <c r="M18" s="7"/>
      <c r="N18" s="8" t="s">
        <v>13</v>
      </c>
      <c r="O18"/>
      <c r="P18" s="37"/>
      <c r="Q18" s="36"/>
      <c r="R18"/>
      <c r="S18"/>
      <c r="T18"/>
      <c r="U18" s="9"/>
      <c r="V18" s="39"/>
      <c r="AH18"/>
      <c r="AI18"/>
    </row>
    <row r="19" spans="1:35" x14ac:dyDescent="0.25">
      <c r="B19" s="7"/>
      <c r="C19" s="18" t="s">
        <v>47</v>
      </c>
      <c r="D19" s="40"/>
      <c r="E19" s="40"/>
      <c r="F19" s="41"/>
      <c r="G19" s="11"/>
      <c r="H19" s="42">
        <v>1520.09</v>
      </c>
      <c r="I19" s="42">
        <v>1381.9</v>
      </c>
      <c r="J19" s="22">
        <v>1256.2727272727273</v>
      </c>
      <c r="M19" s="7"/>
      <c r="N19" s="8" t="s">
        <v>13</v>
      </c>
      <c r="O19" s="36" t="s">
        <v>48</v>
      </c>
      <c r="P19" s="50">
        <f>H31/I29</f>
        <v>-5.4804530507855262E-2</v>
      </c>
      <c r="Q19" s="47" t="str">
        <f>IF(P19&lt;20%,"usual","not ok")</f>
        <v>usual</v>
      </c>
      <c r="R19"/>
      <c r="S19"/>
      <c r="T19"/>
      <c r="U19" s="9"/>
      <c r="V19" s="39"/>
      <c r="AH19"/>
      <c r="AI19"/>
    </row>
    <row r="20" spans="1:35" x14ac:dyDescent="0.25">
      <c r="B20" s="7"/>
      <c r="C20" s="18" t="s">
        <v>49</v>
      </c>
      <c r="D20" s="40"/>
      <c r="E20" s="40"/>
      <c r="F20" s="41"/>
      <c r="G20" s="11"/>
      <c r="H20" s="42">
        <v>6.6904892134079992</v>
      </c>
      <c r="I20" s="42">
        <v>4.6813122210399998</v>
      </c>
      <c r="J20" s="22">
        <v>6.2461041949090905</v>
      </c>
      <c r="M20" s="7"/>
      <c r="N20" s="8" t="s">
        <v>13</v>
      </c>
      <c r="O20" s="36" t="s">
        <v>50</v>
      </c>
      <c r="P20" s="50">
        <f>H32/J29</f>
        <v>0.12291021005782003</v>
      </c>
      <c r="Q20" s="47" t="str">
        <f>IF(P20&lt;20%,"usual","not ok")</f>
        <v>usual</v>
      </c>
      <c r="R20"/>
      <c r="S20"/>
      <c r="T20"/>
      <c r="U20" s="9"/>
      <c r="V20" s="39"/>
      <c r="AH20"/>
      <c r="AI20"/>
    </row>
    <row r="21" spans="1:35" x14ac:dyDescent="0.25">
      <c r="B21" s="7"/>
      <c r="C21" s="18" t="s">
        <v>51</v>
      </c>
      <c r="D21" s="40"/>
      <c r="E21" s="40"/>
      <c r="F21" s="41"/>
      <c r="G21" s="11"/>
      <c r="H21" s="42">
        <v>3040.18</v>
      </c>
      <c r="I21" s="42">
        <v>2763.8</v>
      </c>
      <c r="J21" s="22">
        <v>2512.5454545454545</v>
      </c>
      <c r="M21" s="7"/>
      <c r="N21" s="8" t="s">
        <v>13</v>
      </c>
      <c r="O21" s="36" t="s">
        <v>52</v>
      </c>
      <c r="P21" s="37">
        <f>T21/H29</f>
        <v>3.1076549491211875E-2</v>
      </c>
      <c r="Q21" s="47" t="str">
        <f>IF(P21&lt;25%,"usual","not ok")</f>
        <v>usual</v>
      </c>
      <c r="R21" s="45" t="s">
        <v>27</v>
      </c>
      <c r="S21" s="38" t="s">
        <v>53</v>
      </c>
      <c r="T21" s="52">
        <f>T22-H27</f>
        <v>10.008478723404266</v>
      </c>
      <c r="U21" s="9"/>
      <c r="V21" s="39"/>
      <c r="AH21"/>
      <c r="AI21"/>
    </row>
    <row r="22" spans="1:35" x14ac:dyDescent="0.25">
      <c r="B22" s="7"/>
      <c r="C22" s="18" t="s">
        <v>54</v>
      </c>
      <c r="D22" s="40"/>
      <c r="E22" s="40"/>
      <c r="F22" s="41"/>
      <c r="G22" s="11"/>
      <c r="H22" s="42">
        <v>90.09</v>
      </c>
      <c r="I22" s="42">
        <v>0</v>
      </c>
      <c r="J22" s="22">
        <v>0</v>
      </c>
      <c r="M22" s="7"/>
      <c r="N22" s="8" t="s">
        <v>13</v>
      </c>
      <c r="O22"/>
      <c r="P22"/>
      <c r="Q22"/>
      <c r="R22"/>
      <c r="S22" s="38" t="s">
        <v>55</v>
      </c>
      <c r="T22" s="52">
        <f>T23*H7</f>
        <v>278.13347872340427</v>
      </c>
      <c r="U22" s="9"/>
      <c r="V22" s="9"/>
      <c r="X22" s="51"/>
      <c r="AH22"/>
      <c r="AI22"/>
    </row>
    <row r="23" spans="1:35" x14ac:dyDescent="0.25">
      <c r="B23" s="7"/>
      <c r="C23" s="19" t="s">
        <v>56</v>
      </c>
      <c r="D23" s="43"/>
      <c r="E23" s="43"/>
      <c r="F23" s="12"/>
      <c r="G23" s="20"/>
      <c r="H23" s="44">
        <v>26.855399999999999</v>
      </c>
      <c r="I23" s="44">
        <v>0</v>
      </c>
      <c r="J23" s="21">
        <v>0</v>
      </c>
      <c r="M23" s="7"/>
      <c r="N23" s="8" t="s">
        <v>13</v>
      </c>
      <c r="O23"/>
      <c r="P23"/>
      <c r="Q23"/>
      <c r="R23"/>
      <c r="S23" s="38" t="s">
        <v>57</v>
      </c>
      <c r="T23" s="53">
        <f>AVERAGE(W23,W24)</f>
        <v>0.32416489361702128</v>
      </c>
      <c r="U23" s="45" t="s">
        <v>27</v>
      </c>
      <c r="V23" s="54" t="s">
        <v>58</v>
      </c>
      <c r="W23" s="51">
        <f>(I27+H31)/I7</f>
        <v>0.29450000000000004</v>
      </c>
      <c r="X23" s="51"/>
      <c r="AH23"/>
      <c r="AI23"/>
    </row>
    <row r="24" spans="1:35" x14ac:dyDescent="0.25">
      <c r="B24" s="7"/>
      <c r="C24" s="18" t="s">
        <v>59</v>
      </c>
      <c r="D24" s="40"/>
      <c r="E24" s="40"/>
      <c r="F24" s="41"/>
      <c r="G24" s="11"/>
      <c r="H24" s="42">
        <v>3128.9532559999993</v>
      </c>
      <c r="I24" s="42">
        <v>1651.6468800000002</v>
      </c>
      <c r="J24" s="22">
        <v>1710.0384363636363</v>
      </c>
      <c r="M24" s="7"/>
      <c r="N24" s="8" t="s">
        <v>13</v>
      </c>
      <c r="O24" s="7"/>
      <c r="P24" s="7"/>
      <c r="Q24" s="7"/>
      <c r="R24" s="7"/>
      <c r="S24" s="7"/>
      <c r="T24" s="7"/>
      <c r="U24"/>
      <c r="V24" s="54" t="s">
        <v>60</v>
      </c>
      <c r="W24" s="51">
        <f>(J27+H32)/J7</f>
        <v>0.35382978723404257</v>
      </c>
      <c r="X24" s="9"/>
      <c r="AH24"/>
      <c r="AI24"/>
    </row>
    <row r="25" spans="1:35" x14ac:dyDescent="0.25">
      <c r="B25" s="7"/>
      <c r="C25" s="14" t="s">
        <v>61</v>
      </c>
      <c r="D25" s="34"/>
      <c r="E25" s="34"/>
      <c r="F25" s="17"/>
      <c r="G25" s="15"/>
      <c r="H25" s="35">
        <v>107.25</v>
      </c>
      <c r="I25" s="35">
        <v>0</v>
      </c>
      <c r="J25" s="16">
        <v>0</v>
      </c>
      <c r="M25" s="7"/>
      <c r="N25" s="8" t="s">
        <v>13</v>
      </c>
      <c r="O25" s="9"/>
      <c r="P25" s="9"/>
      <c r="Q25" s="9"/>
      <c r="R25" s="9"/>
      <c r="S25" s="9"/>
      <c r="T25" s="9"/>
      <c r="U25" s="9"/>
      <c r="V25" s="9"/>
      <c r="W25" s="9"/>
      <c r="X25" s="9"/>
      <c r="AH25"/>
      <c r="AI25"/>
    </row>
    <row r="26" spans="1:35" x14ac:dyDescent="0.25">
      <c r="B26" s="7"/>
      <c r="C26" s="18" t="s">
        <v>62</v>
      </c>
      <c r="D26" s="40"/>
      <c r="E26" s="40"/>
      <c r="F26" s="41"/>
      <c r="G26" s="11"/>
      <c r="H26" s="42">
        <v>143</v>
      </c>
      <c r="I26" s="42">
        <v>0</v>
      </c>
      <c r="J26" s="22">
        <v>0</v>
      </c>
      <c r="M26" s="7"/>
      <c r="N26" s="8" t="s">
        <v>13</v>
      </c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35" x14ac:dyDescent="0.25">
      <c r="B27" s="7"/>
      <c r="C27" s="14" t="s">
        <v>63</v>
      </c>
      <c r="D27" s="34"/>
      <c r="E27" s="34"/>
      <c r="F27" s="17"/>
      <c r="G27" s="15"/>
      <c r="H27" s="35">
        <v>268.125</v>
      </c>
      <c r="I27" s="35">
        <v>292.5</v>
      </c>
      <c r="J27" s="16">
        <v>277.72727272727275</v>
      </c>
      <c r="M27" s="7"/>
      <c r="N27" s="8" t="s">
        <v>13</v>
      </c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35" x14ac:dyDescent="0.25">
      <c r="B28" s="7"/>
      <c r="C28" s="18" t="s">
        <v>64</v>
      </c>
      <c r="D28" s="40"/>
      <c r="E28" s="40"/>
      <c r="F28" s="41"/>
      <c r="G28" s="11"/>
      <c r="H28" s="42">
        <v>1.5200899999999999</v>
      </c>
      <c r="I28" s="42">
        <v>0</v>
      </c>
      <c r="J28" s="22">
        <v>0</v>
      </c>
      <c r="M28" s="7"/>
      <c r="N28" s="8" t="s">
        <v>13</v>
      </c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35" x14ac:dyDescent="0.25">
      <c r="A29" s="9"/>
      <c r="B29" s="7"/>
      <c r="C29" s="18" t="s">
        <v>66</v>
      </c>
      <c r="D29" s="40"/>
      <c r="E29" s="40"/>
      <c r="F29" s="41"/>
      <c r="G29" s="11"/>
      <c r="H29" s="42">
        <v>322.05887999999999</v>
      </c>
      <c r="I29" s="42">
        <v>307.41984000000002</v>
      </c>
      <c r="J29" s="22">
        <v>298.84343272727278</v>
      </c>
      <c r="M29" s="7"/>
      <c r="N29" s="8" t="s">
        <v>13</v>
      </c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35" x14ac:dyDescent="0.25">
      <c r="B30" s="7"/>
      <c r="C30" s="19" t="s">
        <v>65</v>
      </c>
      <c r="D30" s="43"/>
      <c r="E30" s="43"/>
      <c r="F30" s="12"/>
      <c r="G30" s="20"/>
      <c r="H30" s="44">
        <v>6.7564799999999847</v>
      </c>
      <c r="I30" s="44">
        <v>3.9583418181818022</v>
      </c>
      <c r="J30" s="21">
        <v>0</v>
      </c>
      <c r="M30" s="7"/>
      <c r="N30" s="8" t="s">
        <v>13</v>
      </c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35" x14ac:dyDescent="0.25">
      <c r="A31" s="9"/>
      <c r="B31" s="7"/>
      <c r="C31" s="14" t="s">
        <v>67</v>
      </c>
      <c r="D31" s="34"/>
      <c r="E31" s="34"/>
      <c r="F31" s="17"/>
      <c r="G31" s="15"/>
      <c r="H31" s="35">
        <v>-16.847999999999985</v>
      </c>
      <c r="I31" s="35">
        <v>63.632872727272733</v>
      </c>
      <c r="J31" s="16">
        <v>0</v>
      </c>
      <c r="M31" s="7"/>
      <c r="N31" s="8" t="s">
        <v>13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35" x14ac:dyDescent="0.25">
      <c r="A32" s="9"/>
      <c r="B32" s="7"/>
      <c r="C32" s="19" t="s">
        <v>68</v>
      </c>
      <c r="D32" s="43"/>
      <c r="E32" s="43"/>
      <c r="F32" s="12"/>
      <c r="G32" s="20"/>
      <c r="H32" s="44">
        <v>36.730909090909108</v>
      </c>
      <c r="I32" s="44">
        <v>0</v>
      </c>
      <c r="J32" s="21">
        <v>0</v>
      </c>
      <c r="M32" s="7"/>
      <c r="N32" s="8" t="s">
        <v>13</v>
      </c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13" x14ac:dyDescent="0.25">
      <c r="C33" s="13" t="s">
        <v>7</v>
      </c>
      <c r="D33" s="13" t="s">
        <v>7</v>
      </c>
      <c r="E33" s="7"/>
      <c r="F33" s="13" t="s">
        <v>7</v>
      </c>
      <c r="G33" s="7"/>
      <c r="H33" s="13" t="s">
        <v>7</v>
      </c>
      <c r="I33" s="7"/>
      <c r="J33" s="13" t="s">
        <v>7</v>
      </c>
      <c r="K33" s="7"/>
      <c r="L33" s="7"/>
      <c r="M33" s="9"/>
    </row>
    <row r="34" spans="1:13" x14ac:dyDescent="0.25">
      <c r="C34" s="13" t="s">
        <v>7</v>
      </c>
      <c r="D34" s="13" t="s">
        <v>7</v>
      </c>
      <c r="E34" s="7"/>
      <c r="F34" s="13" t="s">
        <v>7</v>
      </c>
      <c r="G34" s="7"/>
      <c r="H34" s="13" t="s">
        <v>7</v>
      </c>
      <c r="I34" s="7"/>
      <c r="J34" s="13" t="s">
        <v>7</v>
      </c>
      <c r="K34" s="7"/>
      <c r="L34" s="7"/>
      <c r="M34" s="9"/>
    </row>
    <row r="35" spans="1:13" x14ac:dyDescent="0.25">
      <c r="A35" s="5" t="s">
        <v>70</v>
      </c>
      <c r="C35" s="13" t="s">
        <v>71</v>
      </c>
      <c r="D35" s="13"/>
      <c r="E35" s="7"/>
      <c r="F35" s="13" t="s">
        <v>7</v>
      </c>
      <c r="G35" s="7"/>
      <c r="H35" s="13" t="s">
        <v>7</v>
      </c>
      <c r="I35" s="7"/>
      <c r="J35" s="13" t="s">
        <v>7</v>
      </c>
      <c r="K35" s="7"/>
      <c r="L35" s="7"/>
      <c r="M35" s="9"/>
    </row>
    <row r="36" spans="1:13" x14ac:dyDescent="0.25">
      <c r="C36" s="13" t="s">
        <v>7</v>
      </c>
      <c r="D36" s="13" t="s">
        <v>7</v>
      </c>
      <c r="E36" s="7"/>
      <c r="F36" s="13" t="s">
        <v>7</v>
      </c>
      <c r="G36" s="7"/>
      <c r="H36" s="13" t="s">
        <v>7</v>
      </c>
      <c r="I36" s="7"/>
      <c r="J36" s="13" t="s">
        <v>7</v>
      </c>
      <c r="K36" s="7"/>
      <c r="L36" s="7"/>
      <c r="M36" s="9"/>
    </row>
    <row r="37" spans="1:13" x14ac:dyDescent="0.25">
      <c r="C37" s="13" t="s">
        <v>7</v>
      </c>
      <c r="D37" s="13" t="s">
        <v>7</v>
      </c>
      <c r="E37" s="7"/>
      <c r="F37" s="13" t="s">
        <v>7</v>
      </c>
      <c r="G37" s="7"/>
      <c r="H37" s="13" t="s">
        <v>7</v>
      </c>
      <c r="I37" s="7"/>
      <c r="J37" s="13" t="s">
        <v>7</v>
      </c>
      <c r="K37" s="7"/>
      <c r="L37" s="7"/>
      <c r="M37" s="9"/>
    </row>
    <row r="38" spans="1:13" x14ac:dyDescent="0.25">
      <c r="C38" s="13" t="s">
        <v>7</v>
      </c>
      <c r="D38" s="13" t="s">
        <v>7</v>
      </c>
      <c r="E38" s="7"/>
      <c r="F38" s="13" t="s">
        <v>7</v>
      </c>
      <c r="G38" s="7"/>
      <c r="H38" s="13" t="s">
        <v>7</v>
      </c>
      <c r="I38" s="7"/>
      <c r="J38" s="13" t="s">
        <v>7</v>
      </c>
      <c r="K38" s="7"/>
      <c r="L38" s="7"/>
      <c r="M38" s="9"/>
    </row>
    <row r="39" spans="1:13" x14ac:dyDescent="0.25">
      <c r="A39" s="9"/>
      <c r="B39" s="9"/>
      <c r="C39" s="13" t="s">
        <v>7</v>
      </c>
      <c r="D39" s="13" t="s">
        <v>7</v>
      </c>
      <c r="E39" s="7"/>
      <c r="F39" s="13" t="s">
        <v>7</v>
      </c>
      <c r="G39" s="7"/>
      <c r="H39" s="13" t="s">
        <v>7</v>
      </c>
      <c r="I39" s="7"/>
      <c r="J39" s="13" t="s">
        <v>7</v>
      </c>
      <c r="K39" s="9"/>
      <c r="L39" s="9"/>
      <c r="M39" s="9"/>
    </row>
    <row r="40" spans="1:13" x14ac:dyDescent="0.25">
      <c r="C40" s="13" t="s">
        <v>7</v>
      </c>
      <c r="D40" s="13" t="s">
        <v>7</v>
      </c>
      <c r="E40" s="7"/>
      <c r="F40" s="13" t="s">
        <v>7</v>
      </c>
      <c r="G40" s="7"/>
      <c r="H40" s="13" t="s">
        <v>7</v>
      </c>
      <c r="I40" s="7"/>
      <c r="J40" s="13" t="s">
        <v>7</v>
      </c>
    </row>
  </sheetData>
  <hyperlinks>
    <hyperlink ref="M1" location="TOC!A1" display="TOC!A1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TOC</vt:lpstr>
      <vt:lpstr>IRIS-1</vt:lpstr>
      <vt:lpstr>IRIS-2</vt:lpstr>
    </vt:vector>
  </TitlesOfParts>
  <Company>AGCS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Zuberi, Nabeel (AGCS)</dc:creator>
  <cp:lastModifiedBy>Owner</cp:lastModifiedBy>
  <dcterms:created xsi:type="dcterms:W3CDTF">2021-02-04T15:51:26Z</dcterms:created>
  <dcterms:modified xsi:type="dcterms:W3CDTF">2021-08-01T14:30:51Z</dcterms:modified>
</cp:coreProperties>
</file>