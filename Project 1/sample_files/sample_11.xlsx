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nathan\Documents\BattleActs\Exam 8\Excel Files\"/>
    </mc:Choice>
  </mc:AlternateContent>
  <xr:revisionPtr revIDLastSave="0" documentId="13_ncr:1_{045D8F91-B3EC-41E2-B162-A0588971A8C6}" xr6:coauthVersionLast="47" xr6:coauthVersionMax="47" xr10:uidLastSave="{00000000-0000-0000-0000-000000000000}"/>
  <bookViews>
    <workbookView xWindow="28680" yWindow="-120" windowWidth="19440" windowHeight="15000" xr2:uid="{E5E47C2A-CB7B-4DFD-9733-DC985EEB6B82}"/>
  </bookViews>
  <sheets>
    <sheet name="TOC" sheetId="1" r:id="rId1"/>
    <sheet name="ISO_Rating1" sheetId="48" r:id="rId2"/>
    <sheet name="ISO_Rating2" sheetId="49" r:id="rId3"/>
    <sheet name="ISO_Rating3" sheetId="50" r:id="rId4"/>
    <sheet name="ISO_Rating4" sheetId="51" r:id="rId5"/>
    <sheet name="ISO_Rating5" sheetId="52" r:id="rId6"/>
    <sheet name="ISO_Rating6" sheetId="53" r:id="rId7"/>
    <sheet name="ISO_Rating7" sheetId="54" r:id="rId8"/>
    <sheet name="ISO_Rating8" sheetId="55" r:id="rId9"/>
    <sheet name="ISO_Rating9" sheetId="56" r:id="rId10"/>
    <sheet name="ISO_Rating10" sheetId="57" r:id="rId11"/>
    <sheet name="ISO_Rating11" sheetId="58" r:id="rId12"/>
    <sheet name="ISO_Rating12" sheetId="59" r:id="rId13"/>
    <sheet name="ISO_Rating13" sheetId="60" r:id="rId14"/>
    <sheet name="ISO_Rating14" sheetId="45" r:id="rId15"/>
    <sheet name="ISO_Rating15" sheetId="47" r:id="rId16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47" l="1"/>
  <c r="Q18" i="47"/>
  <c r="U10" i="47"/>
  <c r="T10" i="47"/>
  <c r="S10" i="47"/>
  <c r="R11" i="47"/>
  <c r="R10" i="47"/>
  <c r="Q10" i="47"/>
  <c r="C22" i="45"/>
  <c r="N23" i="45" s="1"/>
  <c r="C21" i="45"/>
  <c r="N21" i="45" s="1"/>
  <c r="C20" i="45"/>
  <c r="N19" i="45" s="1"/>
  <c r="C7" i="45"/>
  <c r="C19" i="45"/>
  <c r="N8" i="60"/>
  <c r="M4" i="60"/>
  <c r="L4" i="60"/>
  <c r="K4" i="60"/>
  <c r="L47" i="59"/>
  <c r="N40" i="59"/>
  <c r="N38" i="59"/>
  <c r="L35" i="59"/>
  <c r="N33" i="59"/>
  <c r="N32" i="59"/>
  <c r="N31" i="59"/>
  <c r="N30" i="59"/>
  <c r="N29" i="59"/>
  <c r="M32" i="59"/>
  <c r="M31" i="59"/>
  <c r="M30" i="59"/>
  <c r="M29" i="59"/>
  <c r="L30" i="59"/>
  <c r="L31" i="59"/>
  <c r="L32" i="59"/>
  <c r="L29" i="59"/>
  <c r="M18" i="59"/>
  <c r="L18" i="59"/>
  <c r="Q9" i="59" s="1"/>
  <c r="K18" i="59"/>
  <c r="O8" i="59"/>
  <c r="O9" i="59"/>
  <c r="O7" i="59"/>
  <c r="N9" i="59"/>
  <c r="N8" i="59"/>
  <c r="N7" i="59"/>
  <c r="M9" i="59"/>
  <c r="M8" i="59"/>
  <c r="M7" i="59"/>
  <c r="L9" i="59"/>
  <c r="L8" i="59"/>
  <c r="L7" i="59"/>
  <c r="N24" i="45" l="1"/>
  <c r="N22" i="45"/>
  <c r="N20" i="45"/>
  <c r="Q8" i="59"/>
  <c r="Q7" i="59"/>
  <c r="P8" i="59"/>
  <c r="P9" i="59"/>
  <c r="S9" i="59" s="1"/>
  <c r="P7" i="59"/>
  <c r="S7" i="59" s="1"/>
  <c r="O46" i="58"/>
  <c r="M44" i="58"/>
  <c r="M41" i="58"/>
  <c r="N38" i="58"/>
  <c r="N35" i="58"/>
  <c r="M35" i="58"/>
  <c r="O35" i="58" s="1"/>
  <c r="N34" i="58"/>
  <c r="M34" i="58"/>
  <c r="N33" i="58"/>
  <c r="M33" i="58"/>
  <c r="O26" i="58"/>
  <c r="N25" i="58"/>
  <c r="O25" i="58" s="1"/>
  <c r="N24" i="58"/>
  <c r="O24" i="58" s="1"/>
  <c r="N23" i="58"/>
  <c r="O23" i="58" s="1"/>
  <c r="M25" i="58"/>
  <c r="M24" i="58"/>
  <c r="M23" i="58"/>
  <c r="L24" i="58"/>
  <c r="L25" i="58"/>
  <c r="L23" i="58"/>
  <c r="S7" i="58"/>
  <c r="T7" i="58" s="1"/>
  <c r="S6" i="58"/>
  <c r="S5" i="58"/>
  <c r="T6" i="58"/>
  <c r="T5" i="58"/>
  <c r="R7" i="58"/>
  <c r="R6" i="58"/>
  <c r="R5" i="58"/>
  <c r="N12" i="58"/>
  <c r="M12" i="58"/>
  <c r="L12" i="58"/>
  <c r="Q8" i="58"/>
  <c r="Q7" i="58"/>
  <c r="Q6" i="58"/>
  <c r="Q5" i="58"/>
  <c r="P6" i="58"/>
  <c r="P7" i="58"/>
  <c r="P5" i="58"/>
  <c r="O7" i="58"/>
  <c r="N7" i="58"/>
  <c r="O6" i="58"/>
  <c r="N6" i="58"/>
  <c r="O5" i="58"/>
  <c r="N5" i="58"/>
  <c r="M7" i="58"/>
  <c r="M6" i="58"/>
  <c r="M5" i="58"/>
  <c r="O25" i="57"/>
  <c r="N26" i="57"/>
  <c r="N27" i="57"/>
  <c r="N28" i="57"/>
  <c r="N25" i="57"/>
  <c r="M25" i="57"/>
  <c r="M26" i="57"/>
  <c r="M27" i="57"/>
  <c r="M28" i="57"/>
  <c r="L26" i="57"/>
  <c r="L27" i="57"/>
  <c r="L28" i="57"/>
  <c r="L25" i="57"/>
  <c r="N13" i="57"/>
  <c r="O28" i="57" s="1"/>
  <c r="M13" i="57"/>
  <c r="L13" i="57"/>
  <c r="M16" i="57" s="1"/>
  <c r="M9" i="57"/>
  <c r="L25" i="56"/>
  <c r="L23" i="56"/>
  <c r="O20" i="56"/>
  <c r="O19" i="56"/>
  <c r="O18" i="56"/>
  <c r="O17" i="56"/>
  <c r="O16" i="56"/>
  <c r="O15" i="56"/>
  <c r="O14" i="56"/>
  <c r="N19" i="56"/>
  <c r="N18" i="56"/>
  <c r="N17" i="56"/>
  <c r="N16" i="56"/>
  <c r="N14" i="56"/>
  <c r="M15" i="56"/>
  <c r="M16" i="56"/>
  <c r="M17" i="56"/>
  <c r="M18" i="56"/>
  <c r="M19" i="56"/>
  <c r="M14" i="56"/>
  <c r="K8" i="56"/>
  <c r="K5" i="56"/>
  <c r="L5" i="56"/>
  <c r="J5" i="56"/>
  <c r="D27" i="56"/>
  <c r="N27" i="55"/>
  <c r="T9" i="55"/>
  <c r="T8" i="55"/>
  <c r="T7" i="55"/>
  <c r="T6" i="55"/>
  <c r="S8" i="55"/>
  <c r="S7" i="55"/>
  <c r="S6" i="55"/>
  <c r="R7" i="55"/>
  <c r="R8" i="55"/>
  <c r="R6" i="55"/>
  <c r="M13" i="55"/>
  <c r="N13" i="55"/>
  <c r="L13" i="55"/>
  <c r="S8" i="59" l="1"/>
  <c r="S10" i="59"/>
  <c r="P10" i="59"/>
  <c r="O34" i="58"/>
  <c r="N36" i="58"/>
  <c r="O33" i="58"/>
  <c r="M36" i="58"/>
  <c r="T8" i="58"/>
  <c r="O26" i="57"/>
  <c r="O29" i="57" s="1"/>
  <c r="O32" i="57" s="1"/>
  <c r="O27" i="57"/>
  <c r="O36" i="58" l="1"/>
  <c r="Q8" i="55"/>
  <c r="Q7" i="55"/>
  <c r="Q6" i="55"/>
  <c r="P8" i="55"/>
  <c r="P7" i="55"/>
  <c r="P6" i="55"/>
  <c r="O7" i="55"/>
  <c r="O8" i="55"/>
  <c r="O6" i="55"/>
  <c r="N8" i="55"/>
  <c r="N7" i="55"/>
  <c r="N6" i="55"/>
  <c r="M8" i="55"/>
  <c r="M7" i="55"/>
  <c r="M6" i="55"/>
  <c r="M8" i="54"/>
  <c r="N27" i="52"/>
  <c r="N25" i="52"/>
  <c r="M28" i="52"/>
  <c r="N28" i="52" s="1"/>
  <c r="M27" i="52"/>
  <c r="M25" i="52"/>
  <c r="L28" i="52"/>
  <c r="L27" i="52"/>
  <c r="L26" i="52"/>
  <c r="M26" i="52" s="1"/>
  <c r="N26" i="52" s="1"/>
  <c r="L25" i="52"/>
  <c r="L18" i="52"/>
  <c r="N12" i="52"/>
  <c r="R12" i="52" s="1"/>
  <c r="N11" i="52"/>
  <c r="N10" i="52"/>
  <c r="R10" i="52" s="1"/>
  <c r="R11" i="52"/>
  <c r="Q12" i="52"/>
  <c r="Q11" i="52"/>
  <c r="Q10" i="52"/>
  <c r="M11" i="52"/>
  <c r="M12" i="52"/>
  <c r="M10" i="52"/>
  <c r="L12" i="52"/>
  <c r="L11" i="52"/>
  <c r="L10" i="52"/>
  <c r="Q9" i="55" l="1"/>
  <c r="M30" i="52"/>
  <c r="R13" i="52"/>
  <c r="O19" i="51"/>
  <c r="L13" i="51"/>
  <c r="N17" i="51" s="1"/>
  <c r="L8" i="51"/>
  <c r="M9" i="51"/>
  <c r="P6" i="51"/>
  <c r="N14" i="50"/>
  <c r="N8" i="50"/>
  <c r="N9" i="50"/>
  <c r="N10" i="50"/>
  <c r="N11" i="50"/>
  <c r="N12" i="50"/>
  <c r="N7" i="50"/>
  <c r="M8" i="50"/>
  <c r="M9" i="50"/>
  <c r="M10" i="50"/>
  <c r="M11" i="50"/>
  <c r="M12" i="50"/>
  <c r="M7" i="50"/>
  <c r="L8" i="50"/>
  <c r="L9" i="50"/>
  <c r="L10" i="50"/>
  <c r="L11" i="50"/>
  <c r="L12" i="50"/>
  <c r="L7" i="50"/>
  <c r="O29" i="49" l="1"/>
  <c r="M24" i="49"/>
  <c r="R11" i="49"/>
  <c r="R10" i="49"/>
  <c r="R9" i="49"/>
  <c r="N19" i="49"/>
  <c r="M19" i="49"/>
  <c r="S10" i="49" s="1"/>
  <c r="L19" i="49"/>
  <c r="O11" i="49"/>
  <c r="O10" i="49"/>
  <c r="O9" i="49"/>
  <c r="N11" i="49"/>
  <c r="N10" i="49"/>
  <c r="N9" i="49"/>
  <c r="B5" i="49"/>
  <c r="B12" i="49"/>
  <c r="N21" i="49"/>
  <c r="B14" i="49"/>
  <c r="B13" i="49"/>
  <c r="S11" i="49"/>
  <c r="P11" i="49"/>
  <c r="C9" i="49"/>
  <c r="P10" i="49"/>
  <c r="S9" i="49"/>
  <c r="P9" i="49"/>
  <c r="L9" i="49"/>
  <c r="L10" i="49" s="1"/>
  <c r="L11" i="49" s="1"/>
  <c r="L3" i="49"/>
  <c r="M11" i="49" s="1"/>
  <c r="S9" i="48"/>
  <c r="S8" i="48"/>
  <c r="S7" i="48"/>
  <c r="M19" i="48"/>
  <c r="N22" i="48"/>
  <c r="N19" i="48"/>
  <c r="L19" i="48"/>
  <c r="P9" i="48"/>
  <c r="P8" i="48"/>
  <c r="P7" i="48"/>
  <c r="O9" i="48"/>
  <c r="O8" i="48"/>
  <c r="O7" i="48"/>
  <c r="N9" i="48"/>
  <c r="N8" i="48"/>
  <c r="N7" i="48"/>
  <c r="L7" i="48"/>
  <c r="L8" i="48" s="1"/>
  <c r="L9" i="48" s="1"/>
  <c r="L4" i="48"/>
  <c r="M9" i="48" s="1"/>
  <c r="Q9" i="48" s="1"/>
  <c r="T9" i="48" s="1"/>
  <c r="M7" i="48" l="1"/>
  <c r="Q7" i="48" s="1"/>
  <c r="M8" i="48"/>
  <c r="Q8" i="48" s="1"/>
  <c r="T8" i="48" s="1"/>
  <c r="Q11" i="49"/>
  <c r="T11" i="49" s="1"/>
  <c r="M9" i="49"/>
  <c r="Q9" i="49" s="1"/>
  <c r="M10" i="49"/>
  <c r="Q10" i="49" s="1"/>
  <c r="T10" i="49" s="1"/>
  <c r="Q10" i="48" l="1"/>
  <c r="T7" i="48"/>
  <c r="T10" i="48" s="1"/>
  <c r="M25" i="48" s="1"/>
  <c r="M28" i="48" s="1"/>
  <c r="Q12" i="49"/>
  <c r="T9" i="49"/>
  <c r="T12" i="49" s="1"/>
  <c r="M27" i="49" l="1"/>
  <c r="B14" i="48" l="1"/>
  <c r="B13" i="48"/>
  <c r="B5" i="48"/>
  <c r="C9" i="48"/>
  <c r="B12" i="48"/>
  <c r="T19" i="47"/>
  <c r="T18" i="47"/>
  <c r="S11" i="47"/>
  <c r="Q11" i="47"/>
  <c r="C9" i="47"/>
  <c r="P4" i="47"/>
  <c r="X24" i="45"/>
  <c r="W24" i="45"/>
  <c r="T24" i="45"/>
  <c r="S24" i="45"/>
  <c r="R24" i="45"/>
  <c r="Q24" i="45"/>
  <c r="X23" i="45"/>
  <c r="T23" i="45"/>
  <c r="S23" i="45"/>
  <c r="R23" i="45"/>
  <c r="Q23" i="45"/>
  <c r="X22" i="45"/>
  <c r="T22" i="45"/>
  <c r="S22" i="45"/>
  <c r="R22" i="45"/>
  <c r="Q22" i="45"/>
  <c r="X21" i="45"/>
  <c r="T21" i="45"/>
  <c r="S21" i="45"/>
  <c r="R21" i="45"/>
  <c r="Q21" i="45"/>
  <c r="U21" i="45" s="1"/>
  <c r="Y21" i="45" s="1"/>
  <c r="X20" i="45"/>
  <c r="T20" i="45"/>
  <c r="S20" i="45"/>
  <c r="R20" i="45"/>
  <c r="Q20" i="45"/>
  <c r="X19" i="45"/>
  <c r="T19" i="45"/>
  <c r="S19" i="45"/>
  <c r="R19" i="45"/>
  <c r="Q19" i="45"/>
  <c r="U22" i="45" l="1"/>
  <c r="Y22" i="45" s="1"/>
  <c r="U11" i="47"/>
  <c r="U24" i="45"/>
  <c r="Y24" i="45" s="1"/>
  <c r="T11" i="47"/>
  <c r="U20" i="45"/>
  <c r="Y20" i="45" s="1"/>
  <c r="U23" i="45"/>
  <c r="Y23" i="45" s="1"/>
  <c r="U19" i="45"/>
  <c r="Y19" i="45" s="1"/>
  <c r="Y25" i="45" l="1"/>
  <c r="U12" i="47"/>
  <c r="T12" i="47"/>
  <c r="R19" i="47" s="1"/>
  <c r="Q19" i="47" l="1"/>
  <c r="S19" i="47" s="1"/>
  <c r="U19" i="47" s="1"/>
  <c r="S18" i="47" l="1"/>
  <c r="U18" i="47" s="1"/>
</calcChain>
</file>

<file path=xl/sharedStrings.xml><?xml version="1.0" encoding="utf-8"?>
<sst xmlns="http://schemas.openxmlformats.org/spreadsheetml/2006/main" count="1137" uniqueCount="532">
  <si>
    <t>Question</t>
  </si>
  <si>
    <t>Sheet</t>
  </si>
  <si>
    <t>Type</t>
  </si>
  <si>
    <t>Reading:</t>
  </si>
  <si>
    <t>Model:</t>
  </si>
  <si>
    <t>Problem Type:</t>
  </si>
  <si>
    <t>Given</t>
  </si>
  <si>
    <t>Find</t>
  </si>
  <si>
    <t>Return to TOC</t>
  </si>
  <si>
    <t>Solution</t>
  </si>
  <si>
    <t>Total</t>
  </si>
  <si>
    <t>Credibility</t>
  </si>
  <si>
    <t>ISO.Rating</t>
  </si>
  <si>
    <t>Source Text</t>
  </si>
  <si>
    <t xml:space="preserve">First it's important to figure out the type of policy we're going to price. Since it's not stated in the question we need to apply our knowledge about the </t>
  </si>
  <si>
    <t>experience period. The experience period covers up to the latest three full policy years of experience and must end at least six months prior to the</t>
  </si>
  <si>
    <t>The following policy is being rated using the ISO CGL rating plan.</t>
  </si>
  <si>
    <t>Effective Date</t>
  </si>
  <si>
    <t>Claims-Made (CM)</t>
  </si>
  <si>
    <t>Policy Type</t>
  </si>
  <si>
    <t>Expected Loss Ratio (ELR)</t>
  </si>
  <si>
    <t>Products</t>
  </si>
  <si>
    <t>1st-year Claims-Made</t>
  </si>
  <si>
    <t>Occurrence</t>
  </si>
  <si>
    <t>Prem/Ops</t>
  </si>
  <si>
    <t>1st-yr CM</t>
  </si>
  <si>
    <t>Table 13B</t>
  </si>
  <si>
    <t>Sub-line</t>
  </si>
  <si>
    <t>3rd-yr CM</t>
  </si>
  <si>
    <t>2nd-yr CM</t>
  </si>
  <si>
    <t>Notes:</t>
  </si>
  <si>
    <t>Table 13C</t>
  </si>
  <si>
    <t>Table 14</t>
  </si>
  <si>
    <t>Year of Experience Period</t>
  </si>
  <si>
    <t>Rule 5B</t>
  </si>
  <si>
    <t>Rule 5C</t>
  </si>
  <si>
    <t>Latest Year</t>
  </si>
  <si>
    <t>2nd Latest Year</t>
  </si>
  <si>
    <t>3rd Latest Year</t>
  </si>
  <si>
    <t xml:space="preserve">Further, it's implicit that unless told otherwise, once you switch to a Claims-Made policy you remain on a Claims-Made policy. </t>
  </si>
  <si>
    <t xml:space="preserve">Next, we need the Basic Limits Expected Loss for each sub-line. However, notice the rapid growth in annual sales. This suggests there has been a </t>
  </si>
  <si>
    <t>Information about previous policy years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</si>
  <si>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</si>
  <si>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</si>
  <si>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</si>
  <si>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</si>
  <si>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</si>
  <si>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</si>
  <si>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</si>
  <si>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</si>
  <si>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</si>
  <si>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</si>
  <si>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</si>
  <si>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Gross Annual Sales</t>
  </si>
  <si>
    <t>Policy Year</t>
  </si>
  <si>
    <t>ELR</t>
  </si>
  <si>
    <t>BLEL</t>
  </si>
  <si>
    <t>PAF 13B</t>
  </si>
  <si>
    <t>PAF 13C</t>
  </si>
  <si>
    <t>Detrend</t>
  </si>
  <si>
    <t>Annual Basic Limits Company Loss Cost</t>
  </si>
  <si>
    <t>3rd-year Claims-Made</t>
  </si>
  <si>
    <t>2nd-year Claims-Made</t>
  </si>
  <si>
    <t>CSLC =&gt;</t>
  </si>
  <si>
    <t>4th-yr CM</t>
  </si>
  <si>
    <t>Calculate the Company Subject Loss Cost using the Historical Exposures at Present Company Rates approach</t>
  </si>
  <si>
    <t>Current Company Rates per Exposure</t>
  </si>
  <si>
    <t>Rate</t>
  </si>
  <si>
    <t xml:space="preserve">dramatic shift in exposures. This means we shouldn't use the standard approach and instead should use gross annual sales as the special </t>
  </si>
  <si>
    <t xml:space="preserve">exposure base. Since we're not given the prospective exposures but are given the full set of current rates this means we'll use the historical exposures </t>
  </si>
  <si>
    <t>at present company rates approach.</t>
  </si>
  <si>
    <t>Ocurrence</t>
  </si>
  <si>
    <t xml:space="preserve">The Basic Limits Expected Loss used in the historical exposures at present company rates approach is the historical exposures multiplied by the basic </t>
  </si>
  <si>
    <t>rate per exposure then multiplied by an increased limit factor and the Expected Loss Ratio. From there we can form the following table:</t>
  </si>
  <si>
    <t>Current Increased Limits Factors</t>
  </si>
  <si>
    <t>(12)</t>
  </si>
  <si>
    <t>Policy Limits (occ/agg)</t>
  </si>
  <si>
    <t>Aggregate Limit</t>
  </si>
  <si>
    <t>Historical Exposures</t>
  </si>
  <si>
    <t>Basic Rate</t>
  </si>
  <si>
    <t>ILF</t>
  </si>
  <si>
    <t>250k/500k</t>
  </si>
  <si>
    <t>200k</t>
  </si>
  <si>
    <t>250k</t>
  </si>
  <si>
    <t>500k</t>
  </si>
  <si>
    <t>150k/500k</t>
  </si>
  <si>
    <t>100k</t>
  </si>
  <si>
    <t>100k/250k</t>
  </si>
  <si>
    <t>150k</t>
  </si>
  <si>
    <t>100k/200k</t>
  </si>
  <si>
    <t xml:space="preserve">Calculate the Company Subject Loss Cost using the Historical Exposures at Present Company Rates approach using the </t>
  </si>
  <si>
    <t>information provided below.</t>
  </si>
  <si>
    <t>(5) This is the current basic limit rates for the company by policy type and sub-line.</t>
  </si>
  <si>
    <r>
      <t xml:space="preserve">(6) This is the ILF for the </t>
    </r>
    <r>
      <rPr>
        <b/>
        <sz val="11"/>
        <color theme="1"/>
        <rFont val="Calibri"/>
        <family val="2"/>
        <scheme val="minor"/>
      </rPr>
      <t>basic per-occurrence limit</t>
    </r>
    <r>
      <rPr>
        <sz val="11"/>
        <color theme="1"/>
        <rFont val="Calibri"/>
        <family val="2"/>
        <scheme val="minor"/>
      </rPr>
      <t xml:space="preserve"> and the </t>
    </r>
    <r>
      <rPr>
        <b/>
        <i/>
        <sz val="11"/>
        <color theme="1"/>
        <rFont val="Calibri"/>
        <family val="2"/>
        <scheme val="minor"/>
      </rPr>
      <t>actual historical aggregate limit</t>
    </r>
    <r>
      <rPr>
        <sz val="11"/>
        <color theme="1"/>
        <rFont val="Calibri"/>
        <family val="2"/>
        <scheme val="minor"/>
      </rPr>
      <t>. Remember the basic limit is generally $100k.</t>
    </r>
  </si>
  <si>
    <t>(8) = (4) * (5) * (6) * (7)</t>
  </si>
  <si>
    <t>(9) &amp; (10) Since using today's rates there is no need to convert the type of policy.</t>
  </si>
  <si>
    <t>(11) Since there is a dramatic shift in exposures we use Table 14 Rule 5C.</t>
  </si>
  <si>
    <t>(12) = (8) * (9) * (10) * (11)</t>
  </si>
  <si>
    <t>Annual Basic Limits</t>
  </si>
  <si>
    <t>EER</t>
  </si>
  <si>
    <t>MSL</t>
  </si>
  <si>
    <t>Indemnity</t>
  </si>
  <si>
    <t>ALAE</t>
  </si>
  <si>
    <t>Expected</t>
  </si>
  <si>
    <t>CSLC</t>
  </si>
  <si>
    <t>LDF</t>
  </si>
  <si>
    <t>Calculate the basic limits expected loss cost when no basic premiums are available.</t>
  </si>
  <si>
    <t>Present Basic</t>
  </si>
  <si>
    <t>ILF @ Basic/Actual</t>
  </si>
  <si>
    <t>The company historically purchased a 150k/300k (per-occurrence/aggregate) Workers' Compensation policy.</t>
  </si>
  <si>
    <t>Limits Company</t>
  </si>
  <si>
    <t>Policy Limits</t>
  </si>
  <si>
    <t>ILF @ Policy</t>
  </si>
  <si>
    <t>Present Rate</t>
  </si>
  <si>
    <t>(per-occ / agg)</t>
  </si>
  <si>
    <t>Limits Purchased</t>
  </si>
  <si>
    <t>At Limits Bought</t>
  </si>
  <si>
    <t>Using the information below, calculate the basic limits expected loss cost by sub-line (Prem/Ops and Products) for the company.</t>
  </si>
  <si>
    <t>Present Basic Limits Company Rate</t>
  </si>
  <si>
    <t>Company Expected Loss Ratio</t>
  </si>
  <si>
    <t>Sub-line Annual</t>
  </si>
  <si>
    <t>Basic Limits</t>
  </si>
  <si>
    <t>Basic per-occ @</t>
  </si>
  <si>
    <t>Company Premium</t>
  </si>
  <si>
    <t>Weight</t>
  </si>
  <si>
    <t>Actual Agg Limits</t>
  </si>
  <si>
    <t>Loss Cost</t>
  </si>
  <si>
    <t>Aggregate Limits</t>
  </si>
  <si>
    <t>300k</t>
  </si>
  <si>
    <t>No rounding is used until step 10 where rounding occurs to the nearest dollar.</t>
  </si>
  <si>
    <t>(2) Recall the basic per-occurrence policy limit for Prem/Ops and Products is 100,000. Use the actual aggregate limit purchased.</t>
  </si>
  <si>
    <t>(3) ILF using the actual per-occurrence and actual aggregate limits purchased.</t>
  </si>
  <si>
    <t>(4) = (1) * (2)</t>
  </si>
  <si>
    <t>[Total 4] = sum (4)</t>
  </si>
  <si>
    <t>(5) = (1) * (3)</t>
  </si>
  <si>
    <t>[Total 5] = sum (5)</t>
  </si>
  <si>
    <t>(6) = (Annual company premium at actual limits bought) * [Total 4] / [Total 5]</t>
  </si>
  <si>
    <t>(7) = (4) / [Total 4]</t>
  </si>
  <si>
    <t>(8) = (6) * (7)</t>
  </si>
  <si>
    <t>(10) = (8) * (9)</t>
  </si>
  <si>
    <t>If the basic per-occurrence limit/actual aggregate limit increased limits factor was not available then use the ILF available which has</t>
  </si>
  <si>
    <t>the closest aggregate limit to the purchased aggregate limit.</t>
  </si>
  <si>
    <t>Exam 8: ISO Rating – Solutions</t>
  </si>
  <si>
    <t>2001 Exam 9 Q27</t>
  </si>
  <si>
    <t>The exposure base is square feet and has not changed in the last five years.</t>
  </si>
  <si>
    <t>Expected Loss Ratio</t>
  </si>
  <si>
    <t>Experience</t>
  </si>
  <si>
    <t>Period</t>
  </si>
  <si>
    <t>2nd Latest</t>
  </si>
  <si>
    <t>3rd Latest</t>
  </si>
  <si>
    <t>Experience Period, limited by MSL</t>
  </si>
  <si>
    <t>Factor</t>
  </si>
  <si>
    <t>Basic Limit</t>
  </si>
  <si>
    <t>Policy Adjustment Factors</t>
  </si>
  <si>
    <t>Claims-Made Year in Program</t>
  </si>
  <si>
    <t>Mature</t>
  </si>
  <si>
    <t>4th</t>
  </si>
  <si>
    <t>3rd</t>
  </si>
  <si>
    <t>2nd</t>
  </si>
  <si>
    <t>1st</t>
  </si>
  <si>
    <t>$160,001 - $200,000</t>
  </si>
  <si>
    <t>$200,001 - $240,000</t>
  </si>
  <si>
    <t>$240,001 - $260,000</t>
  </si>
  <si>
    <t>$260,001 - $300,000</t>
  </si>
  <si>
    <t>$300,001 - $340,000</t>
  </si>
  <si>
    <t>Subject Loss Cost</t>
  </si>
  <si>
    <t>Calculate the applicable experience modification.</t>
  </si>
  <si>
    <t>ISO_Rating1</t>
  </si>
  <si>
    <t>Calculate the experience modification</t>
  </si>
  <si>
    <t>Since the insured has had a claims made policy for ten years, all years being priced are mature claims made.</t>
  </si>
  <si>
    <t>Basic Limits Expected Loss = Basic Limits Premium * ELR</t>
  </si>
  <si>
    <t>Year</t>
  </si>
  <si>
    <t>Remember: PAF 13B takes the prospective policy back to a per-occurrence policy, and</t>
  </si>
  <si>
    <t>PAF 13C takes the per-occurrence policy back to the historical policy.</t>
  </si>
  <si>
    <t>Also recall claims-made policies do not use LDFs.</t>
  </si>
  <si>
    <t>We look up the CSLC in the table to get the associated credibility, EER, and MSL.</t>
  </si>
  <si>
    <t>CSLC →</t>
  </si>
  <si>
    <t>← Expected future development</t>
  </si>
  <si>
    <t>MSL =</t>
  </si>
  <si>
    <t>Credibility =</t>
  </si>
  <si>
    <t>Ratable Losses =</t>
  </si>
  <si>
    <t>AER = (Ratable Losses + Expected Future Development) / CSLC</t>
  </si>
  <si>
    <t xml:space="preserve">AER = </t>
  </si>
  <si>
    <t>Experience Modification = (AER - EER) / EER * Credibility</t>
  </si>
  <si>
    <t>← We didn't need to use this since we're given losses that were already limited by the MSL</t>
  </si>
  <si>
    <t>E-Mod =</t>
  </si>
  <si>
    <t>We're told the historical policies are occurrence policies and we're pricing a first-year claims-made policy.</t>
  </si>
  <si>
    <t>Rule</t>
  </si>
  <si>
    <t>5B</t>
  </si>
  <si>
    <t>5C</t>
  </si>
  <si>
    <t>Since the exposure base has not changed in the last five years, we will use Rule 5B for the detrend factors.</t>
  </si>
  <si>
    <t>Notice we're given the losses after the MSL has been applied.</t>
  </si>
  <si>
    <t>Ratable Losses for the</t>
  </si>
  <si>
    <t>Calculate the applicable experience modification factor.</t>
  </si>
  <si>
    <t>Experience Modification Factor =</t>
  </si>
  <si>
    <t>2002 Exam 9 Q12</t>
  </si>
  <si>
    <t>An insurer writes a General Liability policy using ISO's "Experience and Schedule Rating Plans</t>
  </si>
  <si>
    <t>Applicable to General Liability". They have the following relevant historical experience.</t>
  </si>
  <si>
    <t>Total Limits</t>
  </si>
  <si>
    <t>Allocated Loss</t>
  </si>
  <si>
    <t>Adjustment Expense</t>
  </si>
  <si>
    <t>Calculate the total loss included in the experience modification calculation before the</t>
  </si>
  <si>
    <t>adjustment to reflect the ultimate level of loss.</t>
  </si>
  <si>
    <t>Claim #</t>
  </si>
  <si>
    <t>First cap the total limits indemnity at the applicable ISO basic limit.</t>
  </si>
  <si>
    <t>ISO basic limit</t>
  </si>
  <si>
    <t>You may assume the following apply:</t>
  </si>
  <si>
    <t>Maximum Single Loss</t>
  </si>
  <si>
    <t>Then add the ALAE and cap at the MSL.</t>
  </si>
  <si>
    <t xml:space="preserve">Capped </t>
  </si>
  <si>
    <t>Add</t>
  </si>
  <si>
    <t>Cap at</t>
  </si>
  <si>
    <t>Calculate the ratable loss</t>
  </si>
  <si>
    <t>ISO_Rating2</t>
  </si>
  <si>
    <t>ISO_Rating3</t>
  </si>
  <si>
    <t>Calculate the experience rating modification</t>
  </si>
  <si>
    <t>2003 Exam 9 Q4</t>
  </si>
  <si>
    <t>An actuary wants to calculate the ISO experience modification factor using the</t>
  </si>
  <si>
    <t>following information:</t>
  </si>
  <si>
    <t>Basic Limit Expected Losses</t>
  </si>
  <si>
    <t>Expected Experience Ratio for Company Subject Loss Cost of $100,000</t>
  </si>
  <si>
    <t>Credibility for Company Subject Loss Cost of $100,000</t>
  </si>
  <si>
    <t>All policies within the experience period are occurrence policies and the</t>
  </si>
  <si>
    <t>experience modification factor will apply to an occurrence policy.</t>
  </si>
  <si>
    <t>You may assume all losses and associated ALAE lie below the applicable MSL.</t>
  </si>
  <si>
    <t>Calculate the experience modification factor</t>
  </si>
  <si>
    <t>ISO_Rating4</t>
  </si>
  <si>
    <t>Since the prospective policy and all historical policies are occurrence policies, we know PAF 13B = PAF 13C = 1.000</t>
  </si>
  <si>
    <t>Since we're not given any information about the detrend factor, we will assume it is 1.000</t>
  </si>
  <si>
    <t>CSLC = BLEL * PAF 13B * PAF 13C * Detrend =</t>
  </si>
  <si>
    <t>EER =</t>
  </si>
  <si>
    <t>AER = (Ratable Loss + Expected Future Development) / CSLC</t>
  </si>
  <si>
    <t>Expected Future Development</t>
  </si>
  <si>
    <t>Basic limit loss and ALAE subject to experience modification</t>
  </si>
  <si>
    <t>AER =</t>
  </si>
  <si>
    <t>Experience modification = (AER - EER) / EER * Credibility</t>
  </si>
  <si>
    <t xml:space="preserve">Experience modification = </t>
  </si>
  <si>
    <t>Expected Experience Ratio for Company Subject Loss Cost of $70,000</t>
  </si>
  <si>
    <t>Credibility for Company Subject Loss Cost of $70,000</t>
  </si>
  <si>
    <t>Experience modification factor =</t>
  </si>
  <si>
    <t>2007 Exam 9 Q27</t>
  </si>
  <si>
    <t>ISO_Rating5</t>
  </si>
  <si>
    <t>A commercial general liability policy has premises/operations exposure only.</t>
  </si>
  <si>
    <t>The policy has been rated on an occurrence basis for many years and will continue</t>
  </si>
  <si>
    <t>to be rated on an occurrence basis when renewed.</t>
  </si>
  <si>
    <t>When the policy renews it will have the following characteristics:</t>
  </si>
  <si>
    <t>Exposure (Sales)</t>
  </si>
  <si>
    <t>Basic Limits Premium</t>
  </si>
  <si>
    <t>Basic Limits Underlying Rates</t>
  </si>
  <si>
    <t>An actuary has decided to calculate the experience modification factor for this policy</t>
  </si>
  <si>
    <t xml:space="preserve">using the "Present Average Company Rate Method" in the ISO CGL Experience and </t>
  </si>
  <si>
    <t>Schedule Rating Plan based on the following data:</t>
  </si>
  <si>
    <t>Policy Term</t>
  </si>
  <si>
    <t>Sales</t>
  </si>
  <si>
    <t>Latest</t>
  </si>
  <si>
    <t>Historical Loss Information (Latest Three Terms)</t>
  </si>
  <si>
    <t>Calculate the total ratable loss.</t>
  </si>
  <si>
    <t xml:space="preserve">We're using Sales as the exposure base and there has been rapid growth over the past three years. </t>
  </si>
  <si>
    <t>This means we can't use the standard approach.</t>
  </si>
  <si>
    <t>Historical</t>
  </si>
  <si>
    <t>Exposure</t>
  </si>
  <si>
    <t>The exposure rate for all years is the basic limits premium divided by the prospective exposure.</t>
  </si>
  <si>
    <t>PAF 13B and PAF 13C are 1.000 because the prospective and historical policies are occurrence policies.</t>
  </si>
  <si>
    <t>You may use the following information from the applicable ISO manual:</t>
  </si>
  <si>
    <t>Since we're using the present average company rate method, we use the detrend factors from Rule 5C.</t>
  </si>
  <si>
    <t>BLEL = Exposure Rate * Historical Exposure * Expected Loss Ratio</t>
  </si>
  <si>
    <t>CSLC Range</t>
  </si>
  <si>
    <t>$80,001 to $90,000</t>
  </si>
  <si>
    <t>$90,001 to $100,000</t>
  </si>
  <si>
    <t>$100,001 to $110,000</t>
  </si>
  <si>
    <t>Now use the CSLC to look up the maximum single loss (MSL)</t>
  </si>
  <si>
    <t xml:space="preserve">Compute the ratable loss by first capping the indemnity at the basic limit underlying the rates, then adding </t>
  </si>
  <si>
    <t>on the ALAE before capping the result at the MSL.</t>
  </si>
  <si>
    <t xml:space="preserve">Cap at </t>
  </si>
  <si>
    <t>Total Ratable Loss =</t>
  </si>
  <si>
    <r>
      <t xml:space="preserve">An insurance company has adopted the Insurance Services Office's </t>
    </r>
    <r>
      <rPr>
        <i/>
        <sz val="11"/>
        <color theme="1"/>
        <rFont val="Calibri"/>
        <family val="2"/>
        <scheme val="minor"/>
      </rPr>
      <t>Commercial</t>
    </r>
  </si>
  <si>
    <r>
      <t>General Liability Experience and Schedule Rating Plan</t>
    </r>
    <r>
      <rPr>
        <sz val="11"/>
        <color theme="1"/>
        <rFont val="Calibri"/>
        <family val="2"/>
        <scheme val="minor"/>
      </rPr>
      <t>. The following general</t>
    </r>
  </si>
  <si>
    <t xml:space="preserve">liability schedule rating worksheet was completed for one of the </t>
  </si>
  <si>
    <t>company's insureds.</t>
  </si>
  <si>
    <t>Risk</t>
  </si>
  <si>
    <t>Characteristic</t>
  </si>
  <si>
    <t>2009 Exam 9 Q22</t>
  </si>
  <si>
    <t>Credit</t>
  </si>
  <si>
    <t>Debit</t>
  </si>
  <si>
    <t>Comment</t>
  </si>
  <si>
    <t>Location</t>
  </si>
  <si>
    <t>Premises</t>
  </si>
  <si>
    <t>Equipment</t>
  </si>
  <si>
    <t>Classification</t>
  </si>
  <si>
    <t>Employees</t>
  </si>
  <si>
    <t>Cooperation</t>
  </si>
  <si>
    <t>Recent local lawsuits against businesses of this type</t>
  </si>
  <si>
    <t>Upgraded product testing equipment 5 months ago</t>
  </si>
  <si>
    <t>Enacted safety procedures to protect customers 3 months ago</t>
  </si>
  <si>
    <t>The following additional information is available:</t>
  </si>
  <si>
    <t>• The insured is eligible for experience rating.</t>
  </si>
  <si>
    <t>• The insured is up for its fourth renewal.</t>
  </si>
  <si>
    <t>• Each policy has had a term of 12 months.</t>
  </si>
  <si>
    <t xml:space="preserve">For each risk characteristic with a credit or debit applied, discuss the appropriateness of </t>
  </si>
  <si>
    <t>the modification.</t>
  </si>
  <si>
    <t>Location: Not appropriate because location is supposed to account for changes to the exposure inside or outside of the premises.</t>
  </si>
  <si>
    <t>Equipment: Appropriate because the equipment was improved and it is not yet reflected in the experience.</t>
  </si>
  <si>
    <t>Employees: Not appropriate because this is fully reflected in the experience period.</t>
  </si>
  <si>
    <t>Overhauled training program 4 years ago</t>
  </si>
  <si>
    <t>Cooperation: Not appropriate because it exceeds the maximum permitted credit of 2% for safety. It is not reflected in the experience so a lower schedule credit is appropriate.</t>
  </si>
  <si>
    <t>2011 Exam 8 Q14</t>
  </si>
  <si>
    <t>Discuss the schedule rating modification</t>
  </si>
  <si>
    <t>ISO_Rating6</t>
  </si>
  <si>
    <t>ISO_Rating7</t>
  </si>
  <si>
    <t>An underwriter is rating an account containing general liability and workers' compensation</t>
  </si>
  <si>
    <t>coverage. They have learned the following:</t>
  </si>
  <si>
    <t>• The insured has average schedule rating risk characteristics except for equipment,</t>
  </si>
  <si>
    <t>employees, and premises.</t>
  </si>
  <si>
    <t>• All of the insured's equipment has been replaced within the last four months and all</t>
  </si>
  <si>
    <t>employees have been trained on the new equipment.</t>
  </si>
  <si>
    <t xml:space="preserve">• Five months ago, the insured cleaned its premises inside and installed new lighting </t>
  </si>
  <si>
    <t>outside to improve visibility for its customers at night.</t>
  </si>
  <si>
    <t>a.)</t>
  </si>
  <si>
    <t>Calculate the maximum schedule credit which can be applied to this account according to</t>
  </si>
  <si>
    <r>
      <t xml:space="preserve">the </t>
    </r>
    <r>
      <rPr>
        <i/>
        <sz val="11"/>
        <color theme="1"/>
        <rFont val="Calibri"/>
        <family val="2"/>
        <scheme val="minor"/>
      </rPr>
      <t>ISO Commercial General Liability Experience and Schedule Rating Plan</t>
    </r>
    <r>
      <rPr>
        <sz val="11"/>
        <color theme="1"/>
        <rFont val="Calibri"/>
        <family val="2"/>
        <scheme val="minor"/>
      </rPr>
      <t>.</t>
    </r>
  </si>
  <si>
    <t>b.)</t>
  </si>
  <si>
    <t xml:space="preserve">The account has an overall debit mod for workers' compensation. </t>
  </si>
  <si>
    <t>Briefly describe two conclusions which can be drawn from this.</t>
  </si>
  <si>
    <t xml:space="preserve">Risk </t>
  </si>
  <si>
    <t>Maximum</t>
  </si>
  <si>
    <t>Equipment replaced in the last 4 months so is not yet reflected in the experience period.</t>
  </si>
  <si>
    <t>All trained in the last 4 months so is not yet reflected in the experience period.</t>
  </si>
  <si>
    <t>5% inside improvements and 5% outside improvements.</t>
  </si>
  <si>
    <t>Maximum Schedule Credit (capped at a maximum of 25%)</t>
  </si>
  <si>
    <t>The account's experience must receive a substantial experience rating debit modification.</t>
  </si>
  <si>
    <t>This would indicate either:</t>
  </si>
  <si>
    <t>1.) Poor loss experience compared with their industry average.</t>
  </si>
  <si>
    <t>2.) A poor fit within their manual premium class.</t>
  </si>
  <si>
    <t>2012 Exam 8 Q14</t>
  </si>
  <si>
    <t>Calculate the minimum number of large losses</t>
  </si>
  <si>
    <t>ISO_Rating8</t>
  </si>
  <si>
    <t>The following information applies for a commercial general liability insured:</t>
  </si>
  <si>
    <t>• All historical policies were effected January 1 to December 31.</t>
  </si>
  <si>
    <t>• All historical policies were written on an occurrence basis.</t>
  </si>
  <si>
    <t>• The policy effective January 1, 2013 will be on a claims made basis.</t>
  </si>
  <si>
    <t>• The risk is products/completed operations only.</t>
  </si>
  <si>
    <t>• Experience is evaluated as of June 30, 2012.</t>
  </si>
  <si>
    <t>• A large loss is defined as $250,000 or more in combined basic limit indemnity and ALAE.</t>
  </si>
  <si>
    <t>Annual basic limits premium</t>
  </si>
  <si>
    <t>Assuming all losses that occurred in the experience period meet the requirements to be</t>
  </si>
  <si>
    <t>defined as large losses, calculate the minimum number of large losses that must have</t>
  </si>
  <si>
    <t>occurred to trigger a debit modification for policy year 2013.</t>
  </si>
  <si>
    <t>The prospective policy is a first year claims made policy.</t>
  </si>
  <si>
    <t>The experience period consists of calendar years 2011, 2010, and 2009.</t>
  </si>
  <si>
    <t>Policy</t>
  </si>
  <si>
    <t>Term</t>
  </si>
  <si>
    <t>13B</t>
  </si>
  <si>
    <t>13C</t>
  </si>
  <si>
    <t>Fourth</t>
  </si>
  <si>
    <t>Third</t>
  </si>
  <si>
    <t>Second</t>
  </si>
  <si>
    <t>First</t>
  </si>
  <si>
    <t>Claims-Made Year in Program (YIP)</t>
  </si>
  <si>
    <t>Detrend Factors for Products</t>
  </si>
  <si>
    <t>Policy Adjustment Factors for Products</t>
  </si>
  <si>
    <t>Basic Limits Loss Development Factors for Products</t>
  </si>
  <si>
    <t>Months</t>
  </si>
  <si>
    <t>Company Subject Loss Cost</t>
  </si>
  <si>
    <t>Min</t>
  </si>
  <si>
    <t>Max</t>
  </si>
  <si>
    <t>Use the CSLC to look up the associated credibility, EER, and MSL.</t>
  </si>
  <si>
    <t>Z</t>
  </si>
  <si>
    <t>Occurrence policies require a loss development factor but claims-made policies do not.</t>
  </si>
  <si>
    <t>All historical policies are occurrence policies. The latest year is 2011 as of June 30, 2012 which</t>
  </si>
  <si>
    <t>means it is at 18 months of development.</t>
  </si>
  <si>
    <t>← Expected Future Loss Development</t>
  </si>
  <si>
    <t>← Expected Future Loss Development (ARULL)</t>
  </si>
  <si>
    <t>We’re looking to trigger a debit modification. The experience modification is given by:</t>
  </si>
  <si>
    <t>Experience mod = (AER - EER) / EER * Credibility</t>
  </si>
  <si>
    <t>A debit modification results when the mod is greater than 0.</t>
  </si>
  <si>
    <t>So we require AER &gt; EER</t>
  </si>
  <si>
    <t>Solve for the ratable loss when AER = EER.</t>
  </si>
  <si>
    <t>Ratable Loss =</t>
  </si>
  <si>
    <t>So when the ratable loss is at least 170,038 we will have a debit mod.</t>
  </si>
  <si>
    <t xml:space="preserve">We're told all losses in the experience period are large losses (over $250,000). This means they will </t>
  </si>
  <si>
    <t>all be capped by the MSL of 198,100. So each loss contributes 198,100.</t>
  </si>
  <si>
    <t>Therefore, to have a debit mod we must have at least one large loss in the experience period.</t>
  </si>
  <si>
    <t>2013 Exam 8 Q8</t>
  </si>
  <si>
    <t>Determine the value of X.</t>
  </si>
  <si>
    <t>Determine the value of X</t>
  </si>
  <si>
    <t>ISO_Rating9</t>
  </si>
  <si>
    <t>Calculate the CSLC using the Historical Exposures at Present Company Rates approach</t>
  </si>
  <si>
    <t>• Effective period of the policy: January 1 to December 31, 2014.</t>
  </si>
  <si>
    <t>• Type of policy being rated: Claims-made</t>
  </si>
  <si>
    <t>Loss Experience</t>
  </si>
  <si>
    <t>Start</t>
  </si>
  <si>
    <t>Policy Period</t>
  </si>
  <si>
    <t>End</t>
  </si>
  <si>
    <t>Claims-made</t>
  </si>
  <si>
    <t>Includable Losses in</t>
  </si>
  <si>
    <t>Experience Period</t>
  </si>
  <si>
    <t>(Limited by MSL)</t>
  </si>
  <si>
    <t>X</t>
  </si>
  <si>
    <t>$102,718 + X</t>
  </si>
  <si>
    <t>Coverage</t>
  </si>
  <si>
    <t>Loss Development Factors</t>
  </si>
  <si>
    <t>The following information for a commercial general liability policy:</t>
  </si>
  <si>
    <t>Determine the value of X that yields an experience modification of +4.5%.</t>
  </si>
  <si>
    <t>Look up the CSLC of $147,830 to get</t>
  </si>
  <si>
    <t>Set the mod = +4.5% and solve for the AER</t>
  </si>
  <si>
    <t>AER = (Ratable Loss + Expected Loss Development) / CSLC</t>
  </si>
  <si>
    <t>Calculate the Expected Loss Development by Year and Coverage</t>
  </si>
  <si>
    <t>← Claims-made policies do not have LDFs</t>
  </si>
  <si>
    <t>← Expected Future Development</t>
  </si>
  <si>
    <t>Use the AER to back into the ratable loss</t>
  </si>
  <si>
    <t>Finally, solve for X</t>
  </si>
  <si>
    <t>2014 Exam 8 Q8</t>
  </si>
  <si>
    <t>Calculate the adjustment to reflect ultimate level of loss</t>
  </si>
  <si>
    <t>Calculate the adjustment to reflect the ultimate level of loss</t>
  </si>
  <si>
    <t>ISO_Rating10</t>
  </si>
  <si>
    <t>An actuary is pricing a one-year commercial general liability occurrence policy.</t>
  </si>
  <si>
    <t>The following information is available.</t>
  </si>
  <si>
    <t>• The renewal is effective January 1, 2014</t>
  </si>
  <si>
    <t>• Losses are evaluated as of September 1, 2013</t>
  </si>
  <si>
    <t>Effective</t>
  </si>
  <si>
    <t>Date</t>
  </si>
  <si>
    <t>Company</t>
  </si>
  <si>
    <t>Subject</t>
  </si>
  <si>
    <t>Loss Date</t>
  </si>
  <si>
    <t>Paid &amp; Outstanding</t>
  </si>
  <si>
    <t>Loss Amounts</t>
  </si>
  <si>
    <t>Experience modification</t>
  </si>
  <si>
    <t>Calculate the adjustment to reflect the ultimate level of loss.</t>
  </si>
  <si>
    <t>With no additional information we're forced to assume all historical policies are also occurrence policies.</t>
  </si>
  <si>
    <t>This means the policy adjustment factors, PAF 13B and PAF 13C, are 1.000.</t>
  </si>
  <si>
    <t>The experience period is lagged by one year, so is 1/1/2010 through 12/31/2012.</t>
  </si>
  <si>
    <t>Total CSLC =</t>
  </si>
  <si>
    <t>Use this to look up the following in the given tables</t>
  </si>
  <si>
    <t>Use the given experience modification to back into the AER</t>
  </si>
  <si>
    <t>Calculate the ratable loss using only the losses from calendar years 2010 – 2012.</t>
  </si>
  <si>
    <t>Assume the basic limit is $100,000 and that all losses have already been capped at this level.</t>
  </si>
  <si>
    <t>Capped at</t>
  </si>
  <si>
    <t xml:space="preserve">Add </t>
  </si>
  <si>
    <t>← Ratable Loss</t>
  </si>
  <si>
    <t>Use the AER to solve for the expected future development</t>
  </si>
  <si>
    <t>Expected Future Development =</t>
  </si>
  <si>
    <t>2015 Exam 8 Q9</t>
  </si>
  <si>
    <t>The following Premises/Operations Commercial General Liability loss experience</t>
  </si>
  <si>
    <t>evaluated as of September 1, 2013:</t>
  </si>
  <si>
    <t>Total Ground-Up</t>
  </si>
  <si>
    <t>Incurred Loss</t>
  </si>
  <si>
    <t>Incurred ALAE</t>
  </si>
  <si>
    <t>The insured experienced the following ground-up large losses:</t>
  </si>
  <si>
    <t>Expected loss and ALAE ratio</t>
  </si>
  <si>
    <t>A new policy will become effective March 1, 2014 to February 28, 2015 and will be written</t>
  </si>
  <si>
    <t>on an occurrence basis.</t>
  </si>
  <si>
    <r>
      <t xml:space="preserve">Using the </t>
    </r>
    <r>
      <rPr>
        <i/>
        <sz val="11"/>
        <color theme="1"/>
        <rFont val="Calibri"/>
        <family val="2"/>
        <scheme val="minor"/>
      </rPr>
      <t>ISO Commercial General Liability Experience and Schedule Rating Plan</t>
    </r>
    <r>
      <rPr>
        <sz val="11"/>
        <color theme="1"/>
        <rFont val="Calibri"/>
        <family val="2"/>
        <scheme val="minor"/>
      </rPr>
      <t>, calculate</t>
    </r>
  </si>
  <si>
    <t>the experience modification factor used to price this policy.</t>
  </si>
  <si>
    <t>The prospective policy is effective 3/1/14 which implies the experience period is 3/1/10 – 2/28/2013.</t>
  </si>
  <si>
    <t>Look up the following using the CSLC</t>
  </si>
  <si>
    <t>Losses are evaluated as of September 2013 which means the latest year is at 18 months of development because the years start on March 1st.</t>
  </si>
  <si>
    <t>We assume the ISO basic limit is $100,000.</t>
  </si>
  <si>
    <t>All large losses lie within the experience period.</t>
  </si>
  <si>
    <t>Next, we calculate the ratable losses.</t>
  </si>
  <si>
    <t>Large Loss History</t>
  </si>
  <si>
    <t>GU Loss</t>
  </si>
  <si>
    <t>GU ALAE</t>
  </si>
  <si>
    <r>
      <t>Regular Loss History</t>
    </r>
    <r>
      <rPr>
        <sz val="11"/>
        <color theme="1"/>
        <rFont val="Calibri"/>
        <family val="2"/>
        <scheme val="minor"/>
      </rPr>
      <t xml:space="preserve"> – assumes the basic limits and MSL cap do not apply to any individual claim involved.</t>
    </r>
  </si>
  <si>
    <t>Now remove the large losses from the total ground-up loss data.</t>
  </si>
  <si>
    <t>AER = (Ratable + Expected Future Development) / CSLC</t>
  </si>
  <si>
    <t>Experience modification =  (AER - EER) / EER * Credibility</t>
  </si>
  <si>
    <t>E-mod =</t>
  </si>
  <si>
    <t>2017 Exam 8 Q9</t>
  </si>
  <si>
    <t>Calculate the experience modified premium</t>
  </si>
  <si>
    <t>The following claims-made commercial general liability policy:</t>
  </si>
  <si>
    <t>• The insurance contract was originally written January 1, 2011, and has been renewed</t>
  </si>
  <si>
    <t>annually as a claims-made policy.</t>
  </si>
  <si>
    <t>• Loss experience is evaluated as of June 30, 2016.</t>
  </si>
  <si>
    <t>• There is no products exposure.</t>
  </si>
  <si>
    <t>Annual Premises/Operations basic limits annual premium</t>
  </si>
  <si>
    <t>calculate the experience modified premium for the policy effective January 1, 2017.</t>
  </si>
  <si>
    <r>
      <t xml:space="preserve">Using the </t>
    </r>
    <r>
      <rPr>
        <i/>
        <sz val="11"/>
        <color theme="1"/>
        <rFont val="Calibri"/>
        <family val="2"/>
        <scheme val="minor"/>
      </rPr>
      <t>ISO Commercial General Liability Experience and Schedule Rating Plan</t>
    </r>
    <r>
      <rPr>
        <sz val="11"/>
        <color theme="1"/>
        <rFont val="Calibri"/>
        <family val="2"/>
        <scheme val="minor"/>
      </rPr>
      <t xml:space="preserve">, </t>
    </r>
  </si>
  <si>
    <t>The experience period is three years lagged by one year, so policy years 2013, 2014, and 2015.</t>
  </si>
  <si>
    <t xml:space="preserve">The 2011 policy is a first year claims-made policy. Counting forwards, this means </t>
  </si>
  <si>
    <t>2013 is a 3rd year CM, 2014 is a 4th year CM, while 2015 and later are mature CM policies.</t>
  </si>
  <si>
    <t>Since all policies are claims-made policies there are no loss development factors.</t>
  </si>
  <si>
    <t>Policy Adjustment Factors for Prem/Ops</t>
  </si>
  <si>
    <t>Detrend Factors for Prem/Ops</t>
  </si>
  <si>
    <t>PAF 13B takes the prospective claims-made policy to an occurrence policy.</t>
  </si>
  <si>
    <t>PAF 13C takes an occurrence policy to the historical policy basis.</t>
  </si>
  <si>
    <t>We use Rule 5B for the detrend factors in the absense of any information about a material exposure shift.</t>
  </si>
  <si>
    <t>Only claims 3 through 6 lie within the experience period.</t>
  </si>
  <si>
    <t>We assume $100,000 is the applicable basic limit.</t>
  </si>
  <si>
    <t>← Ratable loss</t>
  </si>
  <si>
    <t>Experience Modification =</t>
  </si>
  <si>
    <t>Since no information is provided about the prospective policy limits, assume it is a basic limits policy.</t>
  </si>
  <si>
    <t>Premium = Annual Basic Limits Premium * ILF * Experience Modification Factor</t>
  </si>
  <si>
    <t xml:space="preserve">ILF = </t>
  </si>
  <si>
    <t>Premium =</t>
  </si>
  <si>
    <t>2018 Exam 8 Q11</t>
  </si>
  <si>
    <t>ISO_Rating11</t>
  </si>
  <si>
    <t>ISO_Rating12</t>
  </si>
  <si>
    <t>ISO_Rating13</t>
  </si>
  <si>
    <t>ISO_Rating14</t>
  </si>
  <si>
    <t>ISO_Rating15</t>
  </si>
  <si>
    <t>Calculate the policy premium</t>
  </si>
  <si>
    <t>The following information for a construction insured's general liability policy</t>
  </si>
  <si>
    <r>
      <t xml:space="preserve">that is subject to the </t>
    </r>
    <r>
      <rPr>
        <i/>
        <sz val="11"/>
        <color theme="1"/>
        <rFont val="Calibri"/>
        <family val="2"/>
        <scheme val="minor"/>
      </rPr>
      <t>ISO Commercial General Liability Experience and Schedule</t>
    </r>
  </si>
  <si>
    <r>
      <rPr>
        <i/>
        <sz val="11"/>
        <color theme="1"/>
        <rFont val="Calibri"/>
        <family val="2"/>
        <scheme val="minor"/>
      </rPr>
      <t>Rating Plan</t>
    </r>
    <r>
      <rPr>
        <sz val="11"/>
        <color theme="1"/>
        <rFont val="Calibri"/>
        <family val="2"/>
        <scheme val="minor"/>
      </rPr>
      <t>:</t>
    </r>
  </si>
  <si>
    <t>Actual Experience Ratio</t>
  </si>
  <si>
    <t>Policy Effective Date</t>
  </si>
  <si>
    <t>Annual</t>
  </si>
  <si>
    <t>All major changes in the last five years for this insured:</t>
  </si>
  <si>
    <t>• Upgraded all equipment in 2015.</t>
  </si>
  <si>
    <t>• Improved employee training in 2018.</t>
  </si>
  <si>
    <t>• Implemented a new safety program in 2018.</t>
  </si>
  <si>
    <t>a.) Calculate the experience modification for this policy.</t>
  </si>
  <si>
    <t>b.) An underwriter has selected a credit of 10% for schedule rating.</t>
  </si>
  <si>
    <t>Assess the reasonability of this selection.</t>
  </si>
  <si>
    <t>Look up the CSLC in the table to get</t>
  </si>
  <si>
    <t>The relevant experience period is 1/1/2016 through 12/31/2018.</t>
  </si>
  <si>
    <t>The equipment upgrade is fully reflected in the experience.</t>
  </si>
  <si>
    <t>The improved employee training and the new safety program is at most 1/3 reflected in the experience,</t>
  </si>
  <si>
    <t>depending on when these occurred during 2018.</t>
  </si>
  <si>
    <t>Maximum credit for employee training is 6% so (2/3) * 6% = 4% credit is reasonable.</t>
  </si>
  <si>
    <t>Maximum credit for a safety program is 2%, so a (2/3) * 2% = 1.3% credit seems reasonable.</t>
  </si>
  <si>
    <t>The underwriter's schedule rating credit of 10% appears too high as the suggested maximum credit is 4% + 1.3% = 5.3%.</t>
  </si>
  <si>
    <t>effective date. This means we can't use the most recent policy period because it's not complete.</t>
  </si>
  <si>
    <r>
      <t>We're told the most recent policy is a 3rd-year Claims-Made policy so the policy being rated is a</t>
    </r>
    <r>
      <rPr>
        <b/>
        <sz val="11"/>
        <color theme="1"/>
        <rFont val="Calibri"/>
        <family val="2"/>
        <scheme val="minor"/>
      </rPr>
      <t xml:space="preserve"> 4th-year Claims-Made</t>
    </r>
    <r>
      <rPr>
        <sz val="11"/>
        <color theme="1"/>
        <rFont val="Calibri"/>
        <family val="2"/>
        <scheme val="minor"/>
      </rPr>
      <t>.</t>
    </r>
  </si>
  <si>
    <t xml:space="preserve">A company has business in risk classes 1500 and 6336. </t>
  </si>
  <si>
    <t>Prem/Ops – 1500</t>
  </si>
  <si>
    <t>Products – 1500</t>
  </si>
  <si>
    <t>Products – 6336</t>
  </si>
  <si>
    <t>The predominant risk class is 1500 as we're told this business generates the most premium dollars.</t>
  </si>
  <si>
    <t>Risk class 1500 generates the most premium dollars.</t>
  </si>
  <si>
    <t>All factors and rates used are for risk class 1500 as this is the predominant class.</t>
  </si>
  <si>
    <t>Prem/Ops – 6336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</si>
</sst>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0.000"/>
    <numFmt numFmtId="165" formatCode="&quot;$&quot;#,##0"/>
    <numFmt numFmtId="166" formatCode="0.0000"/>
    <numFmt numFmtId="167" formatCode="0.00000"/>
    <numFmt numFmtId="174" formatCode="#,##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3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1" fillId="2" borderId="2" xfId="0" applyFont="1" applyFill="1" applyBorder="1"/>
    <xf numFmtId="0" fontId="0" fillId="2" borderId="3" xfId="0" applyFill="1" applyBorder="1"/>
    <xf numFmtId="0" fontId="4" fillId="2" borderId="3" xfId="0" applyFont="1" applyFill="1" applyBorder="1"/>
    <xf numFmtId="0" fontId="1" fillId="2" borderId="5" xfId="0" applyFont="1" applyFill="1" applyBorder="1"/>
    <xf numFmtId="0" fontId="0" fillId="2" borderId="0" xfId="0" applyFill="1"/>
    <xf numFmtId="3" fontId="0" fillId="2" borderId="5" xfId="0" applyNumberFormat="1" applyFill="1" applyBorder="1"/>
    <xf numFmtId="3" fontId="0" fillId="2" borderId="0" xfId="0" applyNumberFormat="1" applyFill="1"/>
    <xf numFmtId="3" fontId="1" fillId="2" borderId="5" xfId="0" applyNumberFormat="1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0" borderId="0" xfId="0" applyAlignment="1" applyProtection="1">
      <alignment horizontal="center"/>
      <protection locked="0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2" borderId="7" xfId="0" applyFill="1" applyBorder="1"/>
    <xf numFmtId="0" fontId="0" fillId="0" borderId="14" xfId="0" applyBorder="1" applyAlignment="1" applyProtection="1">
      <alignment horizontal="center"/>
      <protection locked="0"/>
    </xf>
    <xf numFmtId="164" fontId="0" fillId="0" borderId="15" xfId="0" applyNumberFormat="1" applyBorder="1" applyAlignment="1" applyProtection="1">
      <alignment horizontal="center"/>
      <protection locked="0"/>
    </xf>
    <xf numFmtId="164" fontId="0" fillId="0" borderId="17" xfId="0" applyNumberForma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164" fontId="0" fillId="0" borderId="21" xfId="0" applyNumberFormat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2" fontId="0" fillId="2" borderId="16" xfId="0" applyNumberFormat="1" applyFill="1" applyBorder="1" applyAlignment="1">
      <alignment horizontal="center"/>
    </xf>
    <xf numFmtId="0" fontId="0" fillId="4" borderId="15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3" fontId="0" fillId="3" borderId="8" xfId="0" applyNumberFormat="1" applyFill="1" applyBorder="1" applyAlignment="1" applyProtection="1">
      <alignment horizontal="center"/>
      <protection locked="0"/>
    </xf>
    <xf numFmtId="0" fontId="0" fillId="2" borderId="19" xfId="0" applyFill="1" applyBorder="1"/>
    <xf numFmtId="0" fontId="1" fillId="2" borderId="0" xfId="0" applyFont="1" applyFill="1"/>
    <xf numFmtId="0" fontId="0" fillId="2" borderId="15" xfId="0" applyFill="1" applyBorder="1" applyAlignment="1">
      <alignment horizontal="center"/>
    </xf>
    <xf numFmtId="0" fontId="0" fillId="0" borderId="15" xfId="0" quotePrefix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wrapText="1"/>
      <protection locked="0"/>
    </xf>
    <xf numFmtId="3" fontId="0" fillId="4" borderId="13" xfId="0" applyNumberFormat="1" applyFill="1" applyBorder="1" applyAlignment="1" applyProtection="1">
      <alignment horizontal="center"/>
      <protection locked="0"/>
    </xf>
    <xf numFmtId="3" fontId="0" fillId="4" borderId="22" xfId="0" applyNumberFormat="1" applyFill="1" applyBorder="1" applyAlignment="1" applyProtection="1">
      <alignment horizontal="center"/>
      <protection locked="0"/>
    </xf>
    <xf numFmtId="3" fontId="0" fillId="4" borderId="10" xfId="0" applyNumberFormat="1" applyFill="1" applyBorder="1" applyAlignment="1" applyProtection="1">
      <alignment horizontal="center"/>
      <protection locked="0"/>
    </xf>
    <xf numFmtId="164" fontId="0" fillId="4" borderId="17" xfId="0" applyNumberFormat="1" applyFill="1" applyBorder="1" applyAlignment="1" applyProtection="1">
      <alignment horizontal="center"/>
      <protection locked="0"/>
    </xf>
    <xf numFmtId="3" fontId="7" fillId="0" borderId="0" xfId="0" applyNumberFormat="1" applyFont="1" applyAlignment="1" applyProtection="1">
      <alignment horizontal="right"/>
      <protection locked="0"/>
    </xf>
    <xf numFmtId="0" fontId="0" fillId="0" borderId="12" xfId="0" quotePrefix="1" applyBorder="1" applyAlignment="1" applyProtection="1">
      <alignment horizontal="center"/>
      <protection locked="0"/>
    </xf>
    <xf numFmtId="0" fontId="0" fillId="0" borderId="21" xfId="0" quotePrefix="1" applyBorder="1" applyAlignment="1" applyProtection="1">
      <alignment horizontal="center"/>
      <protection locked="0"/>
    </xf>
    <xf numFmtId="3" fontId="0" fillId="0" borderId="13" xfId="0" quotePrefix="1" applyNumberForma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wrapText="1"/>
      <protection locked="0"/>
    </xf>
    <xf numFmtId="6" fontId="0" fillId="0" borderId="12" xfId="0" applyNumberFormat="1" applyBorder="1" applyAlignment="1" applyProtection="1">
      <alignment horizontal="center"/>
      <protection locked="0"/>
    </xf>
    <xf numFmtId="164" fontId="0" fillId="4" borderId="21" xfId="0" applyNumberFormat="1" applyFill="1" applyBorder="1" applyAlignment="1" applyProtection="1">
      <alignment horizontal="center"/>
      <protection locked="0"/>
    </xf>
    <xf numFmtId="9" fontId="0" fillId="0" borderId="15" xfId="0" applyNumberFormat="1" applyBorder="1" applyAlignment="1" applyProtection="1">
      <alignment horizontal="center"/>
      <protection locked="0"/>
    </xf>
    <xf numFmtId="3" fontId="0" fillId="4" borderId="21" xfId="0" applyNumberFormat="1" applyFill="1" applyBorder="1" applyAlignment="1" applyProtection="1">
      <alignment horizontal="center"/>
      <protection locked="0"/>
    </xf>
    <xf numFmtId="164" fontId="0" fillId="5" borderId="15" xfId="0" applyNumberFormat="1" applyFill="1" applyBorder="1" applyAlignment="1" applyProtection="1">
      <alignment horizontal="center"/>
      <protection locked="0"/>
    </xf>
    <xf numFmtId="164" fontId="0" fillId="5" borderId="21" xfId="0" applyNumberFormat="1" applyFill="1" applyBorder="1" applyAlignment="1" applyProtection="1">
      <alignment horizontal="center"/>
      <protection locked="0"/>
    </xf>
    <xf numFmtId="6" fontId="0" fillId="0" borderId="20" xfId="0" applyNumberFormat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9" fontId="0" fillId="0" borderId="17" xfId="0" applyNumberFormat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164" fontId="0" fillId="5" borderId="17" xfId="0" applyNumberFormat="1" applyFill="1" applyBorder="1" applyAlignment="1" applyProtection="1">
      <alignment horizontal="center"/>
      <protection locked="0"/>
    </xf>
    <xf numFmtId="164" fontId="0" fillId="5" borderId="1" xfId="0" applyNumberFormat="1" applyFill="1" applyBorder="1" applyAlignment="1" applyProtection="1">
      <alignment horizontal="center"/>
      <protection locked="0"/>
    </xf>
    <xf numFmtId="6" fontId="0" fillId="0" borderId="14" xfId="0" applyNumberFormat="1" applyBorder="1" applyAlignment="1" applyProtection="1">
      <alignment horizontal="center"/>
      <protection locked="0"/>
    </xf>
    <xf numFmtId="164" fontId="0" fillId="4" borderId="0" xfId="0" applyNumberFormat="1" applyFill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  <protection locked="0"/>
    </xf>
    <xf numFmtId="3" fontId="0" fillId="4" borderId="0" xfId="0" applyNumberFormat="1" applyFill="1" applyAlignment="1" applyProtection="1">
      <alignment horizontal="center"/>
      <protection locked="0"/>
    </xf>
    <xf numFmtId="164" fontId="0" fillId="5" borderId="16" xfId="0" applyNumberFormat="1" applyFill="1" applyBorder="1" applyAlignment="1" applyProtection="1">
      <alignment horizontal="center"/>
      <protection locked="0"/>
    </xf>
    <xf numFmtId="164" fontId="0" fillId="5" borderId="0" xfId="0" applyNumberFormat="1" applyFill="1" applyAlignment="1" applyProtection="1">
      <alignment horizontal="center"/>
      <protection locked="0"/>
    </xf>
    <xf numFmtId="0" fontId="0" fillId="2" borderId="6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right"/>
    </xf>
    <xf numFmtId="164" fontId="0" fillId="2" borderId="12" xfId="0" applyNumberFormat="1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0" fontId="1" fillId="0" borderId="0" xfId="0" applyFont="1" applyProtection="1">
      <protection locked="0"/>
    </xf>
    <xf numFmtId="0" fontId="1" fillId="0" borderId="15" xfId="0" quotePrefix="1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right"/>
      <protection locked="0"/>
    </xf>
    <xf numFmtId="164" fontId="0" fillId="4" borderId="15" xfId="0" applyNumberFormat="1" applyFill="1" applyBorder="1" applyAlignment="1" applyProtection="1">
      <alignment horizontal="center"/>
      <protection locked="0"/>
    </xf>
    <xf numFmtId="164" fontId="0" fillId="4" borderId="13" xfId="0" applyNumberFormat="1" applyFill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right"/>
      <protection locked="0"/>
    </xf>
    <xf numFmtId="164" fontId="0" fillId="4" borderId="22" xfId="0" applyNumberFormat="1" applyFill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right"/>
      <protection locked="0"/>
    </xf>
    <xf numFmtId="0" fontId="0" fillId="0" borderId="18" xfId="0" applyBorder="1" applyProtection="1">
      <protection locked="0"/>
    </xf>
    <xf numFmtId="0" fontId="0" fillId="0" borderId="23" xfId="0" applyBorder="1" applyProtection="1">
      <protection locked="0"/>
    </xf>
    <xf numFmtId="164" fontId="0" fillId="4" borderId="11" xfId="0" applyNumberFormat="1" applyFill="1" applyBorder="1" applyAlignment="1" applyProtection="1">
      <alignment horizontal="center"/>
      <protection locked="0"/>
    </xf>
    <xf numFmtId="164" fontId="0" fillId="4" borderId="19" xfId="0" applyNumberFormat="1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3" fontId="0" fillId="4" borderId="12" xfId="0" applyNumberFormat="1" applyFill="1" applyBorder="1" applyAlignment="1" applyProtection="1">
      <alignment horizontal="center"/>
      <protection locked="0"/>
    </xf>
    <xf numFmtId="3" fontId="0" fillId="3" borderId="13" xfId="0" applyNumberFormat="1" applyFill="1" applyBorder="1" applyAlignment="1" applyProtection="1">
      <alignment horizontal="center"/>
      <protection locked="0"/>
    </xf>
    <xf numFmtId="3" fontId="0" fillId="4" borderId="20" xfId="0" applyNumberFormat="1" applyFill="1" applyBorder="1" applyAlignment="1" applyProtection="1">
      <alignment horizontal="center"/>
      <protection locked="0"/>
    </xf>
    <xf numFmtId="3" fontId="0" fillId="3" borderId="22" xfId="0" applyNumberFormat="1" applyFill="1" applyBorder="1" applyAlignment="1" applyProtection="1">
      <alignment horizontal="center"/>
      <protection locked="0"/>
    </xf>
    <xf numFmtId="3" fontId="6" fillId="2" borderId="0" xfId="0" applyNumberFormat="1" applyFont="1" applyFill="1"/>
    <xf numFmtId="0" fontId="1" fillId="2" borderId="11" xfId="0" applyFont="1" applyFill="1" applyBorder="1" applyAlignment="1">
      <alignment horizontal="centerContinuous"/>
    </xf>
    <xf numFmtId="0" fontId="0" fillId="2" borderId="19" xfId="0" applyFill="1" applyBorder="1" applyAlignment="1">
      <alignment horizontal="centerContinuous"/>
    </xf>
    <xf numFmtId="9" fontId="0" fillId="2" borderId="11" xfId="0" applyNumberFormat="1" applyFill="1" applyBorder="1"/>
    <xf numFmtId="0" fontId="0" fillId="2" borderId="23" xfId="0" applyFill="1" applyBorder="1"/>
    <xf numFmtId="0" fontId="1" fillId="2" borderId="1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5" xfId="0" applyFont="1" applyFill="1" applyBorder="1"/>
    <xf numFmtId="0" fontId="0" fillId="6" borderId="0" xfId="0" applyFill="1"/>
    <xf numFmtId="0" fontId="0" fillId="6" borderId="6" xfId="0" applyFill="1" applyBorder="1"/>
    <xf numFmtId="3" fontId="0" fillId="6" borderId="5" xfId="0" applyNumberFormat="1" applyFill="1" applyBorder="1"/>
    <xf numFmtId="3" fontId="0" fillId="6" borderId="0" xfId="0" applyNumberFormat="1" applyFill="1"/>
    <xf numFmtId="3" fontId="0" fillId="6" borderId="6" xfId="0" applyNumberFormat="1" applyFill="1" applyBorder="1"/>
    <xf numFmtId="3" fontId="1" fillId="6" borderId="5" xfId="0" applyNumberFormat="1" applyFont="1" applyFill="1" applyBorder="1"/>
    <xf numFmtId="0" fontId="0" fillId="6" borderId="5" xfId="0" applyFill="1" applyBorder="1"/>
    <xf numFmtId="6" fontId="0" fillId="6" borderId="11" xfId="0" applyNumberFormat="1" applyFill="1" applyBorder="1"/>
    <xf numFmtId="0" fontId="0" fillId="6" borderId="23" xfId="0" applyFill="1" applyBorder="1"/>
    <xf numFmtId="0" fontId="0" fillId="6" borderId="19" xfId="0" applyFill="1" applyBorder="1"/>
    <xf numFmtId="2" fontId="0" fillId="6" borderId="11" xfId="0" applyNumberFormat="1" applyFill="1" applyBorder="1"/>
    <xf numFmtId="0" fontId="0" fillId="6" borderId="12" xfId="0" applyFill="1" applyBorder="1" applyAlignment="1">
      <alignment horizontal="center"/>
    </xf>
    <xf numFmtId="0" fontId="0" fillId="6" borderId="12" xfId="0" applyFill="1" applyBorder="1" applyAlignment="1">
      <alignment horizontal="centerContinuous"/>
    </xf>
    <xf numFmtId="0" fontId="0" fillId="6" borderId="21" xfId="0" applyFill="1" applyBorder="1" applyAlignment="1">
      <alignment horizontal="centerContinuous"/>
    </xf>
    <xf numFmtId="0" fontId="0" fillId="6" borderId="13" xfId="0" applyFill="1" applyBorder="1" applyAlignment="1">
      <alignment horizontal="centerContinuous"/>
    </xf>
    <xf numFmtId="0" fontId="0" fillId="6" borderId="20" xfId="0" applyFill="1" applyBorder="1" applyAlignment="1">
      <alignment horizontal="center"/>
    </xf>
    <xf numFmtId="0" fontId="0" fillId="6" borderId="20" xfId="0" applyFill="1" applyBorder="1" applyAlignment="1">
      <alignment horizontal="centerContinuous"/>
    </xf>
    <xf numFmtId="0" fontId="0" fillId="6" borderId="1" xfId="0" applyFill="1" applyBorder="1" applyAlignment="1">
      <alignment horizontal="centerContinuous"/>
    </xf>
    <xf numFmtId="0" fontId="0" fillId="6" borderId="22" xfId="0" applyFill="1" applyBorder="1" applyAlignment="1">
      <alignment horizontal="centerContinuous"/>
    </xf>
    <xf numFmtId="0" fontId="0" fillId="6" borderId="15" xfId="0" applyFill="1" applyBorder="1" applyAlignment="1">
      <alignment horizontal="center"/>
    </xf>
    <xf numFmtId="0" fontId="0" fillId="6" borderId="14" xfId="0" applyFill="1" applyBorder="1"/>
    <xf numFmtId="165" fontId="0" fillId="6" borderId="0" xfId="0" applyNumberFormat="1" applyFill="1" applyAlignment="1">
      <alignment horizontal="center"/>
    </xf>
    <xf numFmtId="0" fontId="0" fillId="6" borderId="10" xfId="0" applyFill="1" applyBorder="1"/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20" xfId="0" applyFill="1" applyBorder="1"/>
    <xf numFmtId="165" fontId="0" fillId="6" borderId="1" xfId="0" applyNumberFormat="1" applyFill="1" applyBorder="1" applyAlignment="1">
      <alignment horizontal="center"/>
    </xf>
    <xf numFmtId="0" fontId="0" fillId="6" borderId="22" xfId="0" applyFill="1" applyBorder="1"/>
    <xf numFmtId="0" fontId="0" fillId="6" borderId="13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9" fillId="6" borderId="0" xfId="0" applyFont="1" applyFill="1" applyAlignment="1">
      <alignment horizontal="centerContinuous"/>
    </xf>
    <xf numFmtId="0" fontId="0" fillId="6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8" xfId="0" applyFill="1" applyBorder="1" applyAlignment="1">
      <alignment horizontal="centerContinuous"/>
    </xf>
    <xf numFmtId="0" fontId="0" fillId="6" borderId="23" xfId="0" applyFill="1" applyBorder="1" applyAlignment="1">
      <alignment horizontal="centerContinuous"/>
    </xf>
    <xf numFmtId="2" fontId="0" fillId="6" borderId="16" xfId="0" applyNumberFormat="1" applyFill="1" applyBorder="1" applyAlignment="1">
      <alignment horizontal="center"/>
    </xf>
    <xf numFmtId="3" fontId="0" fillId="6" borderId="15" xfId="0" applyNumberFormat="1" applyFill="1" applyBorder="1" applyAlignment="1">
      <alignment horizontal="center"/>
    </xf>
    <xf numFmtId="0" fontId="0" fillId="6" borderId="14" xfId="0" applyFill="1" applyBorder="1" applyAlignment="1">
      <alignment horizontal="centerContinuous"/>
    </xf>
    <xf numFmtId="0" fontId="0" fillId="6" borderId="0" xfId="0" applyFill="1" applyAlignment="1">
      <alignment horizontal="centerContinuous"/>
    </xf>
    <xf numFmtId="3" fontId="0" fillId="6" borderId="16" xfId="0" applyNumberFormat="1" applyFill="1" applyBorder="1" applyAlignment="1">
      <alignment horizontal="center"/>
    </xf>
    <xf numFmtId="2" fontId="0" fillId="6" borderId="17" xfId="0" applyNumberFormat="1" applyFill="1" applyBorder="1" applyAlignment="1">
      <alignment horizontal="center"/>
    </xf>
    <xf numFmtId="3" fontId="0" fillId="6" borderId="17" xfId="0" applyNumberForma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1" fillId="6" borderId="2" xfId="0" applyFont="1" applyFill="1" applyBorder="1"/>
    <xf numFmtId="0" fontId="0" fillId="6" borderId="3" xfId="0" applyFill="1" applyBorder="1"/>
    <xf numFmtId="0" fontId="4" fillId="6" borderId="3" xfId="0" applyFont="1" applyFill="1" applyBorder="1"/>
    <xf numFmtId="6" fontId="0" fillId="0" borderId="0" xfId="0" applyNumberFormat="1" applyProtection="1">
      <protection locked="0"/>
    </xf>
    <xf numFmtId="6" fontId="0" fillId="0" borderId="0" xfId="0" applyNumberFormat="1"/>
    <xf numFmtId="0" fontId="12" fillId="0" borderId="0" xfId="0" applyFont="1"/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0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4" fontId="0" fillId="0" borderId="16" xfId="0" applyNumberForma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12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6" borderId="15" xfId="0" applyFill="1" applyBorder="1"/>
    <xf numFmtId="0" fontId="0" fillId="6" borderId="17" xfId="0" applyFill="1" applyBorder="1"/>
    <xf numFmtId="2" fontId="0" fillId="6" borderId="11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6" fontId="0" fillId="6" borderId="0" xfId="0" applyNumberFormat="1" applyFill="1"/>
    <xf numFmtId="165" fontId="0" fillId="6" borderId="16" xfId="0" applyNumberFormat="1" applyFill="1" applyBorder="1" applyAlignment="1">
      <alignment horizontal="center"/>
    </xf>
    <xf numFmtId="165" fontId="0" fillId="6" borderId="10" xfId="0" applyNumberFormat="1" applyFill="1" applyBorder="1" applyAlignment="1">
      <alignment horizontal="center"/>
    </xf>
    <xf numFmtId="165" fontId="0" fillId="6" borderId="17" xfId="0" applyNumberFormat="1" applyFill="1" applyBorder="1" applyAlignment="1">
      <alignment horizontal="center"/>
    </xf>
    <xf numFmtId="165" fontId="0" fillId="6" borderId="22" xfId="0" applyNumberFormat="1" applyFill="1" applyBorder="1" applyAlignment="1">
      <alignment horizontal="center"/>
    </xf>
    <xf numFmtId="6" fontId="0" fillId="0" borderId="10" xfId="0" applyNumberFormat="1" applyBorder="1" applyAlignment="1">
      <alignment horizontal="center"/>
    </xf>
    <xf numFmtId="6" fontId="0" fillId="0" borderId="22" xfId="0" applyNumberFormat="1" applyBorder="1" applyAlignment="1">
      <alignment horizontal="center"/>
    </xf>
    <xf numFmtId="6" fontId="0" fillId="0" borderId="16" xfId="0" applyNumberFormat="1" applyBorder="1" applyAlignment="1">
      <alignment horizontal="center"/>
    </xf>
    <xf numFmtId="6" fontId="0" fillId="0" borderId="17" xfId="0" applyNumberFormat="1" applyBorder="1" applyAlignment="1">
      <alignment horizontal="center"/>
    </xf>
    <xf numFmtId="6" fontId="0" fillId="3" borderId="0" xfId="0" applyNumberFormat="1" applyFill="1"/>
    <xf numFmtId="9" fontId="0" fillId="0" borderId="0" xfId="0" applyNumberFormat="1"/>
    <xf numFmtId="6" fontId="0" fillId="6" borderId="15" xfId="0" applyNumberFormat="1" applyFill="1" applyBorder="1"/>
    <xf numFmtId="0" fontId="0" fillId="6" borderId="21" xfId="0" applyFill="1" applyBorder="1"/>
    <xf numFmtId="0" fontId="0" fillId="6" borderId="13" xfId="0" applyFill="1" applyBorder="1"/>
    <xf numFmtId="6" fontId="0" fillId="6" borderId="16" xfId="0" applyNumberFormat="1" applyFill="1" applyBorder="1"/>
    <xf numFmtId="9" fontId="0" fillId="6" borderId="17" xfId="0" applyNumberFormat="1" applyFill="1" applyBorder="1"/>
    <xf numFmtId="0" fontId="0" fillId="6" borderId="1" xfId="0" applyFill="1" applyBorder="1"/>
    <xf numFmtId="0" fontId="0" fillId="6" borderId="18" xfId="0" applyFill="1" applyBorder="1" applyAlignment="1">
      <alignment horizontal="center"/>
    </xf>
    <xf numFmtId="6" fontId="0" fillId="6" borderId="16" xfId="0" applyNumberFormat="1" applyFill="1" applyBorder="1" applyAlignment="1">
      <alignment horizontal="center"/>
    </xf>
    <xf numFmtId="6" fontId="0" fillId="6" borderId="17" xfId="0" applyNumberFormat="1" applyFill="1" applyBorder="1" applyAlignment="1">
      <alignment horizontal="center"/>
    </xf>
    <xf numFmtId="6" fontId="0" fillId="6" borderId="10" xfId="0" applyNumberFormat="1" applyFill="1" applyBorder="1" applyAlignment="1">
      <alignment horizontal="center"/>
    </xf>
    <xf numFmtId="6" fontId="0" fillId="6" borderId="22" xfId="0" applyNumberFormat="1" applyFill="1" applyBorder="1" applyAlignment="1">
      <alignment horizontal="center"/>
    </xf>
    <xf numFmtId="0" fontId="1" fillId="6" borderId="0" xfId="0" applyFont="1" applyFill="1" applyAlignment="1">
      <alignment horizontal="centerContinuous"/>
    </xf>
    <xf numFmtId="164" fontId="0" fillId="6" borderId="16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0" fontId="11" fillId="6" borderId="0" xfId="0" applyFont="1" applyFill="1"/>
    <xf numFmtId="9" fontId="0" fillId="6" borderId="0" xfId="2" applyFon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0" fontId="0" fillId="6" borderId="24" xfId="0" applyFill="1" applyBorder="1"/>
    <xf numFmtId="9" fontId="0" fillId="6" borderId="16" xfId="2" applyFont="1" applyFill="1" applyBorder="1" applyAlignment="1">
      <alignment horizontal="center"/>
    </xf>
    <xf numFmtId="9" fontId="0" fillId="6" borderId="17" xfId="2" applyFont="1" applyFill="1" applyBorder="1" applyAlignment="1">
      <alignment horizontal="center"/>
    </xf>
    <xf numFmtId="0" fontId="0" fillId="6" borderId="5" xfId="0" applyFill="1" applyBorder="1" applyAlignment="1">
      <alignment horizontal="right"/>
    </xf>
    <xf numFmtId="9" fontId="0" fillId="3" borderId="0" xfId="2" applyFont="1" applyFill="1"/>
    <xf numFmtId="0" fontId="1" fillId="0" borderId="0" xfId="0" applyFont="1"/>
    <xf numFmtId="0" fontId="0" fillId="0" borderId="1" xfId="0" applyBorder="1"/>
    <xf numFmtId="3" fontId="0" fillId="0" borderId="16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5" fillId="6" borderId="0" xfId="0" applyFont="1" applyFill="1" applyAlignment="1">
      <alignment horizontal="centerContinuous"/>
    </xf>
    <xf numFmtId="0" fontId="0" fillId="6" borderId="19" xfId="0" applyFill="1" applyBorder="1" applyAlignment="1">
      <alignment horizontal="centerContinuous"/>
    </xf>
    <xf numFmtId="2" fontId="0" fillId="6" borderId="23" xfId="0" applyNumberFormat="1" applyFill="1" applyBorder="1" applyAlignment="1">
      <alignment horizontal="center"/>
    </xf>
    <xf numFmtId="2" fontId="0" fillId="6" borderId="19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3" fontId="0" fillId="6" borderId="14" xfId="0" applyNumberFormat="1" applyFill="1" applyBorder="1" applyAlignment="1">
      <alignment horizontal="center"/>
    </xf>
    <xf numFmtId="3" fontId="0" fillId="6" borderId="10" xfId="0" applyNumberFormat="1" applyFill="1" applyBorder="1" applyAlignment="1">
      <alignment horizontal="center"/>
    </xf>
    <xf numFmtId="3" fontId="0" fillId="6" borderId="20" xfId="0" applyNumberFormat="1" applyFill="1" applyBorder="1" applyAlignment="1">
      <alignment horizontal="center"/>
    </xf>
    <xf numFmtId="3" fontId="0" fillId="6" borderId="22" xfId="0" applyNumberForma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6" fontId="0" fillId="0" borderId="15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1" fillId="6" borderId="7" xfId="0" applyFont="1" applyFill="1" applyBorder="1"/>
    <xf numFmtId="14" fontId="0" fillId="6" borderId="0" xfId="0" applyNumberFormat="1" applyFill="1" applyAlignment="1">
      <alignment horizontal="center"/>
    </xf>
    <xf numFmtId="6" fontId="0" fillId="6" borderId="0" xfId="0" applyNumberFormat="1" applyFill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Continuous"/>
    </xf>
    <xf numFmtId="14" fontId="0" fillId="6" borderId="10" xfId="0" applyNumberFormat="1" applyFill="1" applyBorder="1" applyAlignment="1">
      <alignment horizontal="center"/>
    </xf>
    <xf numFmtId="6" fontId="0" fillId="6" borderId="13" xfId="0" applyNumberFormat="1" applyFill="1" applyBorder="1" applyAlignment="1">
      <alignment horizontal="center"/>
    </xf>
    <xf numFmtId="6" fontId="0" fillId="6" borderId="14" xfId="0" applyNumberFormat="1" applyFill="1" applyBorder="1" applyAlignment="1">
      <alignment horizontal="center"/>
    </xf>
    <xf numFmtId="6" fontId="0" fillId="6" borderId="20" xfId="0" applyNumberFormat="1" applyFill="1" applyBorder="1" applyAlignment="1">
      <alignment horizontal="center"/>
    </xf>
    <xf numFmtId="6" fontId="0" fillId="6" borderId="1" xfId="0" applyNumberFormat="1" applyFill="1" applyBorder="1" applyAlignment="1">
      <alignment horizontal="center"/>
    </xf>
    <xf numFmtId="0" fontId="1" fillId="6" borderId="0" xfId="0" applyFont="1" applyFill="1"/>
    <xf numFmtId="6" fontId="0" fillId="0" borderId="13" xfId="0" applyNumberFormat="1" applyBorder="1" applyAlignment="1">
      <alignment horizontal="center"/>
    </xf>
    <xf numFmtId="8" fontId="0" fillId="0" borderId="0" xfId="0" applyNumberFormat="1"/>
    <xf numFmtId="8" fontId="0" fillId="3" borderId="0" xfId="0" applyNumberFormat="1" applyFill="1"/>
    <xf numFmtId="8" fontId="0" fillId="3" borderId="0" xfId="0" applyNumberFormat="1" applyFill="1" applyAlignment="1">
      <alignment horizontal="center"/>
    </xf>
    <xf numFmtId="164" fontId="0" fillId="6" borderId="22" xfId="0" applyNumberForma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6" borderId="12" xfId="0" applyNumberFormat="1" applyFill="1" applyBorder="1" applyAlignment="1">
      <alignment horizontal="center"/>
    </xf>
    <xf numFmtId="14" fontId="0" fillId="6" borderId="20" xfId="0" applyNumberFormat="1" applyFill="1" applyBorder="1" applyAlignment="1">
      <alignment horizontal="center"/>
    </xf>
    <xf numFmtId="6" fontId="0" fillId="6" borderId="15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0" fontId="5" fillId="6" borderId="0" xfId="0" applyFont="1" applyFill="1" applyAlignment="1">
      <alignment horizontal="left"/>
    </xf>
    <xf numFmtId="167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4" fontId="0" fillId="6" borderId="2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6" fontId="0" fillId="6" borderId="11" xfId="0" applyNumberFormat="1" applyFill="1" applyBorder="1" applyAlignment="1">
      <alignment horizontal="center"/>
    </xf>
    <xf numFmtId="9" fontId="0" fillId="6" borderId="1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6" borderId="3" xfId="1" applyFill="1" applyBorder="1" applyAlignment="1" applyProtection="1">
      <alignment horizontal="right"/>
    </xf>
    <xf numFmtId="0" fontId="3" fillId="6" borderId="4" xfId="1" applyFill="1" applyBorder="1" applyAlignment="1" applyProtection="1">
      <alignment horizontal="right"/>
    </xf>
    <xf numFmtId="0" fontId="3" fillId="2" borderId="3" xfId="1" applyFill="1" applyBorder="1" applyAlignment="1" applyProtection="1">
      <alignment horizontal="right"/>
    </xf>
    <xf numFmtId="0" fontId="3" fillId="2" borderId="4" xfId="1" applyFill="1" applyBorder="1" applyAlignment="1" applyProtection="1">
      <alignment horizontal="right"/>
    </xf>
    <xf numFmtId="2" fontId="0" fillId="0" borderId="14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0" fontId="9" fillId="0" borderId="0" xfId="0" applyFont="1"/>
    <xf numFmtId="14" fontId="0" fillId="0" borderId="12" xfId="0" applyNumberFormat="1" applyBorder="1" applyAlignment="1">
      <alignment horizontal="center"/>
    </xf>
    <xf numFmtId="6" fontId="0" fillId="0" borderId="19" xfId="0" applyNumberFormat="1" applyBorder="1" applyAlignment="1">
      <alignment horizontal="center"/>
    </xf>
    <xf numFmtId="6" fontId="0" fillId="0" borderId="11" xfId="0" applyNumberForma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66" fontId="0" fillId="0" borderId="0" xfId="0" applyNumberFormat="1"/>
    <xf numFmtId="6" fontId="1" fillId="0" borderId="0" xfId="0" applyNumberFormat="1" applyFont="1"/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Border="1"/>
    <xf numFmtId="3" fontId="0" fillId="6" borderId="0" xfId="0" applyNumberFormat="1" applyFill="1" applyBorder="1"/>
    <xf numFmtId="0" fontId="0" fillId="6" borderId="0" xfId="0" applyFill="1" applyBorder="1" applyAlignment="1">
      <alignment horizontal="left" indent="1"/>
    </xf>
    <xf numFmtId="0" fontId="5" fillId="6" borderId="0" xfId="0" applyFont="1" applyFill="1" applyBorder="1" applyAlignment="1">
      <alignment horizontal="centerContinuous"/>
    </xf>
    <xf numFmtId="0" fontId="0" fillId="6" borderId="0" xfId="0" applyFill="1" applyBorder="1" applyAlignment="1">
      <alignment horizontal="centerContinuous"/>
    </xf>
    <xf numFmtId="0" fontId="5" fillId="6" borderId="0" xfId="0" applyFont="1" applyFill="1" applyBorder="1" applyAlignment="1">
      <alignment horizontal="left"/>
    </xf>
    <xf numFmtId="2" fontId="0" fillId="6" borderId="0" xfId="0" applyNumberFormat="1" applyFill="1" applyBorder="1" applyAlignment="1">
      <alignment horizontal="center"/>
    </xf>
    <xf numFmtId="6" fontId="0" fillId="6" borderId="0" xfId="0" applyNumberFormat="1" applyFill="1" applyBorder="1" applyAlignment="1">
      <alignment horizontal="center"/>
    </xf>
    <xf numFmtId="0" fontId="0" fillId="6" borderId="12" xfId="0" applyFill="1" applyBorder="1"/>
    <xf numFmtId="0" fontId="1" fillId="0" borderId="17" xfId="0" applyFont="1" applyBorder="1" applyAlignment="1">
      <alignment horizontal="center"/>
    </xf>
    <xf numFmtId="6" fontId="1" fillId="0" borderId="19" xfId="0" applyNumberFormat="1" applyFont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0" fillId="6" borderId="0" xfId="0" applyFill="1" applyBorder="1" applyAlignment="1">
      <alignment horizontal="left" indent="2"/>
    </xf>
    <xf numFmtId="0" fontId="0" fillId="6" borderId="6" xfId="0" applyFill="1" applyBorder="1" applyProtection="1">
      <protection locked="0"/>
    </xf>
    <xf numFmtId="0" fontId="0" fillId="6" borderId="6" xfId="0" applyFill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1" fillId="6" borderId="0" xfId="0" applyFont="1" applyFill="1" applyBorder="1" applyAlignment="1">
      <alignment horizontal="centerContinuous"/>
    </xf>
    <xf numFmtId="14" fontId="0" fillId="6" borderId="15" xfId="0" applyNumberFormat="1" applyFill="1" applyBorder="1" applyAlignment="1">
      <alignment horizontal="center"/>
    </xf>
    <xf numFmtId="0" fontId="0" fillId="6" borderId="16" xfId="0" applyFill="1" applyBorder="1"/>
    <xf numFmtId="174" fontId="0" fillId="6" borderId="0" xfId="0" applyNumberFormat="1" applyFill="1" applyBorder="1"/>
    <xf numFmtId="9" fontId="0" fillId="6" borderId="17" xfId="0" applyNumberFormat="1" applyFill="1" applyBorder="1" applyAlignment="1">
      <alignment horizontal="center"/>
    </xf>
    <xf numFmtId="0" fontId="1" fillId="6" borderId="0" xfId="0" applyFont="1" applyFill="1" applyBorder="1"/>
    <xf numFmtId="3" fontId="1" fillId="6" borderId="0" xfId="0" applyNumberFormat="1" applyFont="1" applyFill="1" applyBorder="1" applyAlignment="1">
      <alignment horizontal="centerContinuous"/>
    </xf>
    <xf numFmtId="0" fontId="0" fillId="6" borderId="11" xfId="0" applyFill="1" applyBorder="1" applyAlignment="1">
      <alignment horizontal="center" wrapText="1"/>
    </xf>
    <xf numFmtId="0" fontId="0" fillId="6" borderId="14" xfId="0" applyFill="1" applyBorder="1" applyAlignment="1">
      <alignment textRotation="90" wrapText="1"/>
    </xf>
    <xf numFmtId="0" fontId="0" fillId="6" borderId="0" xfId="0" applyFill="1" applyBorder="1" applyAlignment="1">
      <alignment horizontal="right"/>
    </xf>
    <xf numFmtId="164" fontId="0" fillId="6" borderId="12" xfId="0" applyNumberFormat="1" applyFill="1" applyBorder="1" applyAlignment="1">
      <alignment horizontal="center"/>
    </xf>
    <xf numFmtId="164" fontId="0" fillId="6" borderId="21" xfId="0" applyNumberFormat="1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14" fontId="0" fillId="6" borderId="17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1" fillId="6" borderId="0" xfId="0" applyFont="1" applyFill="1" applyBorder="1" applyAlignment="1">
      <alignment horizontal="left"/>
    </xf>
    <xf numFmtId="0" fontId="0" fillId="6" borderId="1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3" fontId="0" fillId="6" borderId="9" xfId="0" applyNumberFormat="1" applyFill="1" applyBorder="1" applyAlignment="1">
      <alignment horizontal="center"/>
    </xf>
    <xf numFmtId="2" fontId="0" fillId="0" borderId="21" xfId="0" applyNumberFormat="1" applyBorder="1" applyAlignment="1" applyProtection="1">
      <alignment horizontal="center"/>
      <protection locked="0"/>
    </xf>
    <xf numFmtId="0" fontId="3" fillId="0" borderId="0" xfId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2</xdr:col>
      <xdr:colOff>1202902</xdr:colOff>
      <xdr:row>4</xdr:row>
      <xdr:rowOff>59056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DE5A5-F1B0-4C95-86A1-CA4481F94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750"/>
          <a:ext cx="3334597" cy="8007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592666</xdr:colOff>
      <xdr:row>17</xdr:row>
      <xdr:rowOff>370417</xdr:rowOff>
    </xdr:from>
    <xdr:to>
      <xdr:col>7</xdr:col>
      <xdr:colOff>508001</xdr:colOff>
      <xdr:row>21</xdr:row>
      <xdr:rowOff>179917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E9DFF0-45D3-4DF3-AC4C-DF272E21FD8F}"/>
            </a:ext>
          </a:extLst>
        </xdr:cNvPr>
        <xdr:cNvSpPr txBox="1"/>
      </xdr:nvSpPr>
      <xdr:spPr>
        <a:xfrm>
          <a:off x="6050491" y="3608917"/>
          <a:ext cx="591610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100"/>
            <a:t>Occurrence</a:t>
          </a:r>
          <a:r>
            <a:rPr lang="en-GB" sz="1100" baseline="0"/>
            <a:t> Limit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137582</xdr:colOff>
      <xdr:row>19</xdr:row>
      <xdr:rowOff>158749</xdr:rowOff>
    </xdr:from>
    <xdr:to>
      <xdr:col>2</xdr:col>
      <xdr:colOff>412750</xdr:colOff>
      <xdr:row>24</xdr:row>
      <xdr:rowOff>158749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EBD97A-2E6F-47D2-AD54-1C1A8DBFDF60}"/>
            </a:ext>
          </a:extLst>
        </xdr:cNvPr>
        <xdr:cNvSpPr txBox="1"/>
      </xdr:nvSpPr>
      <xdr:spPr>
        <a:xfrm>
          <a:off x="851957" y="3778249"/>
          <a:ext cx="589493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100"/>
            <a:t>Occurrence</a:t>
          </a:r>
          <a:r>
            <a:rPr lang="en-GB" sz="1100" baseline="0"/>
            <a:t> Limit</a:t>
          </a:r>
          <a:endParaRPr lang="en-GB" sz="1100"/>
        </a:p>
      </xdr:txBody>
    </xdr:sp>
    <xdr:clientData/>
  </xdr:twoCellAnchor>
  <xdr:twoCellAnchor>
    <xdr:from>
      <xdr:col>1</xdr:col>
      <xdr:colOff>105833</xdr:colOff>
      <xdr:row>26</xdr:row>
      <xdr:rowOff>162983</xdr:rowOff>
    </xdr:from>
    <xdr:to>
      <xdr:col>2</xdr:col>
      <xdr:colOff>449792</xdr:colOff>
      <xdr:row>31</xdr:row>
      <xdr:rowOff>162983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C15A55-243D-4178-BA70-08D3B00A7776}"/>
            </a:ext>
          </a:extLst>
        </xdr:cNvPr>
        <xdr:cNvSpPr txBox="1"/>
      </xdr:nvSpPr>
      <xdr:spPr>
        <a:xfrm>
          <a:off x="820208" y="5115983"/>
          <a:ext cx="658284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100"/>
            <a:t>Occurrence</a:t>
          </a:r>
          <a:r>
            <a:rPr lang="en-GB" sz="1100" baseline="0"/>
            <a:t> Limit</a:t>
          </a:r>
          <a:endParaRPr lang="en-GB" sz="1100"/>
        </a:p>
      </xdr:txBody>
    </xdr:sp>
    <xdr:clientData/>
  </xdr:twoCellAnchor>
  <xdr:twoCellAnchor>
    <xdr:from>
      <xdr:col>8</xdr:col>
      <xdr:colOff>317498</xdr:colOff>
      <xdr:row>20</xdr:row>
      <xdr:rowOff>0</xdr:rowOff>
    </xdr:from>
    <xdr:to>
      <xdr:col>9</xdr:col>
      <xdr:colOff>338666</xdr:colOff>
      <xdr:row>25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C13628-9137-44EE-BE03-B6EF2504CA85}"/>
            </a:ext>
          </a:extLst>
        </xdr:cNvPr>
        <xdr:cNvSpPr txBox="1"/>
      </xdr:nvSpPr>
      <xdr:spPr>
        <a:xfrm>
          <a:off x="5480048" y="3810000"/>
          <a:ext cx="630768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100"/>
            <a:t>Occurrence</a:t>
          </a:r>
          <a:r>
            <a:rPr lang="en-GB" sz="1100" baseline="0"/>
            <a:t> Limit</a:t>
          </a:r>
          <a:endParaRPr lang="en-GB" sz="1100"/>
        </a:p>
      </xdr:txBody>
    </xdr:sp>
    <xdr:clientData/>
  </xdr:twoCellAnchor>
  <xdr:twoCellAnchor>
    <xdr:from>
      <xdr:col>8</xdr:col>
      <xdr:colOff>328084</xdr:colOff>
      <xdr:row>26</xdr:row>
      <xdr:rowOff>4233</xdr:rowOff>
    </xdr:from>
    <xdr:to>
      <xdr:col>9</xdr:col>
      <xdr:colOff>335494</xdr:colOff>
      <xdr:row>31</xdr:row>
      <xdr:rowOff>4233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CAEC69-093F-4FE4-9E06-300D3C60C163}"/>
            </a:ext>
          </a:extLst>
        </xdr:cNvPr>
        <xdr:cNvSpPr txBox="1"/>
      </xdr:nvSpPr>
      <xdr:spPr>
        <a:xfrm>
          <a:off x="5490634" y="4957233"/>
          <a:ext cx="617010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100"/>
            <a:t>Occurrence</a:t>
          </a:r>
          <a:r>
            <a:rPr lang="en-GB" sz="1100" baseline="0"/>
            <a:t> Limit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8C90-0776-46BA-8587-527ABF3B4816}">
  <sheetPr codeName="Sheet1"/>
  <dimension ref="A5:D1048574"/>
  <sheetViews>
    <sheetView showGridLines="0" tabSelected="1" workbookViewId="0"/>
  </sheetViews>
  <sheetFormatPr defaultRowHeight="15" x14ac:dyDescent="0.25"/>
  <cols>
    <col min="2" max="2" width="22.7109375" style="1" customWidth="1"/>
    <col min="3" max="3" width="64" customWidth="1"/>
  </cols>
  <sheetData>
    <row r="5" spans="1:4" ht="15" customHeight="1" x14ac:dyDescent="0.25">
      <c r="A5" s="300" t="s">
        <v>142</v>
      </c>
      <c r="B5" s="300"/>
      <c r="C5" s="300"/>
      <c r="D5" s="300"/>
    </row>
    <row r="6" spans="1:4" ht="15" customHeight="1" x14ac:dyDescent="0.25">
      <c r="A6" s="300"/>
      <c r="B6" s="300"/>
      <c r="C6" s="300"/>
      <c r="D6" s="300"/>
    </row>
    <row r="7" spans="1:4" ht="21" x14ac:dyDescent="0.35">
      <c r="A7" s="5"/>
      <c r="B7" s="5"/>
      <c r="C7" s="5"/>
    </row>
    <row r="8" spans="1:4" x14ac:dyDescent="0.25">
      <c r="A8" s="2" t="s">
        <v>0</v>
      </c>
      <c r="B8" s="2" t="s">
        <v>1</v>
      </c>
      <c r="C8" s="2" t="s">
        <v>2</v>
      </c>
      <c r="D8" s="250"/>
    </row>
    <row r="9" spans="1:4" x14ac:dyDescent="0.25">
      <c r="A9" s="360">
        <v>1</v>
      </c>
      <c r="B9" s="4" t="s">
        <v>167</v>
      </c>
      <c r="C9" t="s">
        <v>168</v>
      </c>
    </row>
    <row r="10" spans="1:4" x14ac:dyDescent="0.25">
      <c r="A10" s="360">
        <v>2</v>
      </c>
      <c r="B10" s="4" t="s">
        <v>213</v>
      </c>
      <c r="C10" t="s">
        <v>225</v>
      </c>
    </row>
    <row r="11" spans="1:4" x14ac:dyDescent="0.25">
      <c r="A11" s="360">
        <v>3</v>
      </c>
      <c r="B11" s="4" t="s">
        <v>214</v>
      </c>
      <c r="C11" t="s">
        <v>212</v>
      </c>
    </row>
    <row r="12" spans="1:4" x14ac:dyDescent="0.25">
      <c r="A12" s="360">
        <v>4</v>
      </c>
      <c r="B12" s="4" t="s">
        <v>226</v>
      </c>
      <c r="C12" t="s">
        <v>225</v>
      </c>
    </row>
    <row r="13" spans="1:4" x14ac:dyDescent="0.25">
      <c r="A13" s="360">
        <v>5</v>
      </c>
      <c r="B13" s="4" t="s">
        <v>241</v>
      </c>
      <c r="C13" t="s">
        <v>212</v>
      </c>
    </row>
    <row r="14" spans="1:4" x14ac:dyDescent="0.25">
      <c r="A14" s="360">
        <v>6</v>
      </c>
      <c r="B14" s="4" t="s">
        <v>307</v>
      </c>
      <c r="C14" t="s">
        <v>306</v>
      </c>
    </row>
    <row r="15" spans="1:4" x14ac:dyDescent="0.25">
      <c r="A15" s="3">
        <v>7</v>
      </c>
      <c r="B15" s="4" t="s">
        <v>308</v>
      </c>
      <c r="C15" t="s">
        <v>306</v>
      </c>
    </row>
    <row r="16" spans="1:4" x14ac:dyDescent="0.25">
      <c r="A16" s="3">
        <v>8</v>
      </c>
      <c r="B16" s="4" t="s">
        <v>335</v>
      </c>
      <c r="C16" t="s">
        <v>334</v>
      </c>
    </row>
    <row r="17" spans="1:3" x14ac:dyDescent="0.25">
      <c r="A17" s="360">
        <v>9</v>
      </c>
      <c r="B17" s="4" t="s">
        <v>385</v>
      </c>
      <c r="C17" t="s">
        <v>384</v>
      </c>
    </row>
    <row r="18" spans="1:3" x14ac:dyDescent="0.25">
      <c r="A18" s="360">
        <v>10</v>
      </c>
      <c r="B18" s="4" t="s">
        <v>414</v>
      </c>
      <c r="C18" t="s">
        <v>413</v>
      </c>
    </row>
    <row r="19" spans="1:3" x14ac:dyDescent="0.25">
      <c r="A19" s="360">
        <v>11</v>
      </c>
      <c r="B19" s="4" t="s">
        <v>495</v>
      </c>
      <c r="C19" t="s">
        <v>225</v>
      </c>
    </row>
    <row r="20" spans="1:3" x14ac:dyDescent="0.25">
      <c r="A20" s="360">
        <v>12</v>
      </c>
      <c r="B20" s="4" t="s">
        <v>496</v>
      </c>
      <c r="C20" t="s">
        <v>500</v>
      </c>
    </row>
    <row r="21" spans="1:3" x14ac:dyDescent="0.25">
      <c r="A21" s="360">
        <v>13</v>
      </c>
      <c r="B21" s="4" t="s">
        <v>497</v>
      </c>
      <c r="C21" t="s">
        <v>168</v>
      </c>
    </row>
    <row r="22" spans="1:3" x14ac:dyDescent="0.25">
      <c r="A22" s="360">
        <v>14</v>
      </c>
      <c r="B22" s="4" t="s">
        <v>498</v>
      </c>
      <c r="C22" t="s">
        <v>386</v>
      </c>
    </row>
    <row r="23" spans="1:3" x14ac:dyDescent="0.25">
      <c r="A23" s="360">
        <v>15</v>
      </c>
      <c r="B23" s="4" t="s">
        <v>499</v>
      </c>
      <c r="C23" t="s">
        <v>106</v>
      </c>
    </row>
    <row r="24" spans="1:3" x14ac:dyDescent="0.25">
      <c r="A24" s="4"/>
    </row>
    <row r="25" spans="1:3" x14ac:dyDescent="0.25">
      <c r="A25" s="4"/>
    </row>
    <row r="26" spans="1:3" x14ac:dyDescent="0.25">
      <c r="A26" s="4"/>
    </row>
    <row r="27" spans="1:3" x14ac:dyDescent="0.25">
      <c r="A27" s="4"/>
    </row>
    <row r="28" spans="1:3" x14ac:dyDescent="0.25">
      <c r="A28" s="4"/>
    </row>
    <row r="29" spans="1:3" x14ac:dyDescent="0.25">
      <c r="A29" s="4"/>
    </row>
    <row r="30" spans="1:3" x14ac:dyDescent="0.25">
      <c r="A30" s="4"/>
    </row>
    <row r="31" spans="1:3" x14ac:dyDescent="0.25">
      <c r="A31" s="4"/>
    </row>
    <row r="32" spans="1:3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048574" spans="2:2" x14ac:dyDescent="0.25">
      <c r="B1048574"/>
    </row>
  </sheetData>
  <sheetProtection formatCells="0" formatColumns="0" formatRows="0"/>
  <mergeCells count="1">
    <mergeCell ref="A5:D6"/>
  </mergeCells>
  <hyperlinks>
    <hyperlink ref="A9" location="'ISO_Rating1'!A1" display="1" xr:uid="{D33FC6BB-8E55-477B-8434-80F783C0364F}"/>
    <hyperlink ref="A10" location="'ISO_Rating2'!A1" display="2" xr:uid="{F1CE1C2F-287F-422C-B042-EC743DF875A0}"/>
    <hyperlink ref="A11" location="'ISO_Rating3'!A1" display="3" xr:uid="{3269BA62-4241-4437-A1BD-2FF31C810E77}"/>
    <hyperlink ref="A12" location="'ISO_Rating4'!A1" display="4" xr:uid="{1C9EB6B3-53AA-4E97-ADCF-06A47CE28EE2}"/>
    <hyperlink ref="A13" location="'ISO_Rating5'!A1" display="5" xr:uid="{6FFA8F4A-5FBE-4F93-A332-7D1957299649}"/>
    <hyperlink ref="A14" location="'ISO_Rating6'!A1" display="6" xr:uid="{2AF2B418-BD47-4DE6-B946-DF51887D74F3}"/>
    <hyperlink ref="A15" location="'ISO_Rating7'!A1" display="7" xr:uid="{EAE5B7A0-F0FB-464B-B369-D9F7A2FBF583}"/>
    <hyperlink ref="A16" location="'ISO_Rating8'!A1" display="8" xr:uid="{5E647BDA-7D57-4FFD-B395-B72CA674E2FA}"/>
    <hyperlink ref="A17" location="'ISO_Rating9'!A1" display="9" xr:uid="{C851246A-EA74-4397-A682-F192988B1603}"/>
    <hyperlink ref="A18" location="'ISO_Rating10'!A1" display="10" xr:uid="{77B0E9F3-866A-498D-9300-44600C4CF9B2}"/>
    <hyperlink ref="A19" location="'ISO_Rating11'!A1" display="11" xr:uid="{A8CE03E5-D0AB-43A9-9B41-55E34FF3B05D}"/>
    <hyperlink ref="A20" location="'ISO_Rating12'!A1" display="12" xr:uid="{4CEB7437-862D-40EC-AE94-4B9610A00223}"/>
    <hyperlink ref="A21" location="'ISO_Rating13'!A1" display="13" xr:uid="{5397AEBC-17E5-4269-945D-4E608702D8AC}"/>
    <hyperlink ref="A22" location="'ISO_Rating14'!A1" display="14" xr:uid="{65E3497D-9581-4EAD-89D6-361EF137F1C6}"/>
    <hyperlink ref="A23" location="'ISO_Rating15'!A1" display="15" xr:uid="{FB25AC42-6AC0-4931-B9E6-19DEDAE1E11C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F6CF-EDED-4085-88BA-7C5652FFB695}">
  <sheetPr codeName="Sheet2"/>
  <dimension ref="A1:U43"/>
  <sheetViews>
    <sheetView workbookViewId="0"/>
  </sheetViews>
  <sheetFormatPr defaultRowHeight="15" x14ac:dyDescent="0.25"/>
  <cols>
    <col min="1" max="1" width="13.5703125" bestFit="1" customWidth="1"/>
    <col min="2" max="2" width="10.5703125" customWidth="1"/>
    <col min="3" max="5" width="10.140625" customWidth="1"/>
    <col min="11" max="11" width="2.7109375" customWidth="1"/>
    <col min="12" max="12" width="11.5703125" bestFit="1" customWidth="1"/>
    <col min="17" max="17" width="10" bestFit="1" customWidth="1"/>
  </cols>
  <sheetData>
    <row r="1" spans="1:21" x14ac:dyDescent="0.25">
      <c r="A1" s="168" t="s">
        <v>3</v>
      </c>
      <c r="B1" s="169" t="s">
        <v>12</v>
      </c>
      <c r="C1" s="117"/>
      <c r="D1" s="170"/>
      <c r="E1" s="169"/>
      <c r="F1" s="169"/>
      <c r="G1" s="169"/>
      <c r="H1" s="169"/>
      <c r="I1" s="301" t="s">
        <v>8</v>
      </c>
      <c r="J1" s="302"/>
      <c r="K1" s="20"/>
      <c r="L1" s="6" t="s">
        <v>9</v>
      </c>
    </row>
    <row r="2" spans="1:21" x14ac:dyDescent="0.25">
      <c r="A2" s="116" t="s">
        <v>4</v>
      </c>
      <c r="B2" s="117" t="s">
        <v>143</v>
      </c>
      <c r="C2" s="117"/>
      <c r="D2" s="117"/>
      <c r="E2" s="117"/>
      <c r="F2" s="117"/>
      <c r="G2" s="117"/>
      <c r="H2" s="117"/>
      <c r="I2" s="117"/>
      <c r="J2" s="118"/>
      <c r="K2" s="20"/>
      <c r="L2" s="7" t="s">
        <v>169</v>
      </c>
    </row>
    <row r="3" spans="1:21" x14ac:dyDescent="0.25">
      <c r="A3" s="116" t="s">
        <v>5</v>
      </c>
      <c r="B3" s="117" t="s">
        <v>215</v>
      </c>
      <c r="C3" s="117"/>
      <c r="D3" s="117"/>
      <c r="E3" s="117"/>
      <c r="F3" s="117"/>
      <c r="G3" s="117"/>
      <c r="H3" s="117"/>
      <c r="I3" s="117"/>
      <c r="J3" s="118"/>
      <c r="K3" s="20"/>
      <c r="L3" s="7" t="s">
        <v>170</v>
      </c>
    </row>
    <row r="4" spans="1:2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  <c r="K4" s="8"/>
      <c r="L4" s="171">
        <f>B9*B10</f>
        <v>104000</v>
      </c>
    </row>
    <row r="5" spans="1:21" x14ac:dyDescent="0.25">
      <c r="A5" s="122" t="s">
        <v>6</v>
      </c>
      <c r="B5" s="117" t="str">
        <f ca="1">"An insurer is writing a General Liability experience rated policy effective January 1, "&amp;YEAR(TODAY())+1&amp;"."</f>
        <v>An insurer is writing a General Liability experience rated policy effective January 1, 2025.</v>
      </c>
      <c r="C5" s="117"/>
      <c r="D5" s="117"/>
      <c r="E5" s="117"/>
      <c r="F5" s="117"/>
      <c r="G5" s="117"/>
      <c r="H5" s="117"/>
      <c r="I5" s="117"/>
      <c r="J5" s="118"/>
      <c r="K5" s="8"/>
      <c r="L5" s="7"/>
    </row>
    <row r="6" spans="1:21" x14ac:dyDescent="0.25">
      <c r="A6" s="123"/>
      <c r="B6" s="117"/>
      <c r="C6" s="117"/>
      <c r="D6" s="117"/>
      <c r="E6" s="117"/>
      <c r="F6" s="117"/>
      <c r="G6" s="117"/>
      <c r="H6" s="117"/>
      <c r="I6" s="117"/>
      <c r="J6" s="118"/>
      <c r="L6" s="186" t="s">
        <v>171</v>
      </c>
      <c r="M6" s="184" t="s">
        <v>56</v>
      </c>
      <c r="N6" s="184" t="s">
        <v>57</v>
      </c>
      <c r="O6" s="184" t="s">
        <v>58</v>
      </c>
      <c r="P6" s="184" t="s">
        <v>59</v>
      </c>
      <c r="Q6" s="189" t="s">
        <v>10</v>
      </c>
      <c r="R6" s="184" t="s">
        <v>105</v>
      </c>
      <c r="S6" s="184" t="s">
        <v>99</v>
      </c>
      <c r="T6" s="189" t="s">
        <v>10</v>
      </c>
    </row>
    <row r="7" spans="1:21" x14ac:dyDescent="0.25">
      <c r="A7" s="123"/>
      <c r="B7" s="117" t="s">
        <v>144</v>
      </c>
      <c r="C7" s="117"/>
      <c r="D7" s="117"/>
      <c r="E7" s="117"/>
      <c r="F7" s="117"/>
      <c r="G7" s="117"/>
      <c r="H7" s="117"/>
      <c r="I7" s="117"/>
      <c r="J7" s="118"/>
      <c r="L7" s="187">
        <f ca="1">YEAR(TODAY())-1</f>
        <v>2023</v>
      </c>
      <c r="M7" s="177">
        <f>$L$4</f>
        <v>104000</v>
      </c>
      <c r="N7" s="4">
        <f>$C$31</f>
        <v>1.03</v>
      </c>
      <c r="O7" s="4">
        <f>$C$32</f>
        <v>0.94</v>
      </c>
      <c r="P7" s="4">
        <f>C24</f>
        <v>0.81499999999999995</v>
      </c>
      <c r="Q7" s="190">
        <f>PRODUCT(M7:P7)</f>
        <v>82064.631999999983</v>
      </c>
      <c r="R7" s="4">
        <v>0</v>
      </c>
      <c r="S7" s="178">
        <f>$M$19</f>
        <v>0.95</v>
      </c>
      <c r="T7" s="187">
        <f>PRODUCT(Q7:S7)</f>
        <v>0</v>
      </c>
    </row>
    <row r="8" spans="1:21" x14ac:dyDescent="0.25">
      <c r="A8" s="123"/>
      <c r="B8" s="117"/>
      <c r="C8" s="117"/>
      <c r="D8" s="117"/>
      <c r="E8" s="117"/>
      <c r="F8" s="117"/>
      <c r="G8" s="117"/>
      <c r="H8" s="117"/>
      <c r="I8" s="117"/>
      <c r="J8" s="118"/>
      <c r="L8" s="187">
        <f ca="1">L7-1</f>
        <v>2022</v>
      </c>
      <c r="M8" s="177">
        <f>$L$4</f>
        <v>104000</v>
      </c>
      <c r="N8" s="4">
        <f>$C$31</f>
        <v>1.03</v>
      </c>
      <c r="O8" s="4">
        <f>$C$32</f>
        <v>0.94</v>
      </c>
      <c r="P8" s="4">
        <f>C25</f>
        <v>0.73499999999999999</v>
      </c>
      <c r="Q8" s="190">
        <f>PRODUCT(M8:P8)</f>
        <v>74009.207999999984</v>
      </c>
      <c r="R8" s="4">
        <v>0</v>
      </c>
      <c r="S8" s="178">
        <f t="shared" ref="S8:S9" si="0">$M$19</f>
        <v>0.95</v>
      </c>
      <c r="T8" s="187">
        <f>PRODUCT(Q8:S8)</f>
        <v>0</v>
      </c>
    </row>
    <row r="9" spans="1:21" x14ac:dyDescent="0.25">
      <c r="A9" s="123"/>
      <c r="B9" s="124">
        <v>160000</v>
      </c>
      <c r="C9" s="125" t="str">
        <f ca="1">YEAR(TODAY())+1&amp;" basic limits premium"</f>
        <v>2025 basic limits premium</v>
      </c>
      <c r="D9" s="125"/>
      <c r="E9" s="126"/>
      <c r="F9" s="117"/>
      <c r="G9" s="117"/>
      <c r="H9" s="117"/>
      <c r="I9" s="117"/>
      <c r="J9" s="118"/>
      <c r="L9" s="188">
        <f ca="1">L8-1</f>
        <v>2021</v>
      </c>
      <c r="M9" s="180">
        <f>$L$4</f>
        <v>104000</v>
      </c>
      <c r="N9" s="181">
        <f>$C$31</f>
        <v>1.03</v>
      </c>
      <c r="O9" s="181">
        <f>$C$32</f>
        <v>0.94</v>
      </c>
      <c r="P9" s="181">
        <f>C26</f>
        <v>0.66400000000000003</v>
      </c>
      <c r="Q9" s="191">
        <f>PRODUCT(M9:P9)</f>
        <v>66860.019199999995</v>
      </c>
      <c r="R9" s="181">
        <v>0</v>
      </c>
      <c r="S9" s="182">
        <f t="shared" si="0"/>
        <v>0.95</v>
      </c>
      <c r="T9" s="188">
        <f>PRODUCT(Q9:S9)</f>
        <v>0</v>
      </c>
    </row>
    <row r="10" spans="1:21" x14ac:dyDescent="0.25">
      <c r="A10" s="123"/>
      <c r="B10" s="127">
        <v>0.65</v>
      </c>
      <c r="C10" s="125" t="s">
        <v>145</v>
      </c>
      <c r="D10" s="125"/>
      <c r="E10" s="126"/>
      <c r="F10" s="117"/>
      <c r="G10" s="117"/>
      <c r="H10" s="117"/>
      <c r="I10" s="117"/>
      <c r="J10" s="118"/>
      <c r="P10" s="173" t="s">
        <v>176</v>
      </c>
      <c r="Q10" s="192">
        <f>SUM(Q7:Q9)</f>
        <v>222933.85919999995</v>
      </c>
      <c r="T10" s="188">
        <f>SUM(T7:T9)</f>
        <v>0</v>
      </c>
      <c r="U10" s="173" t="s">
        <v>177</v>
      </c>
    </row>
    <row r="11" spans="1:21" x14ac:dyDescent="0.25">
      <c r="A11" s="123"/>
      <c r="B11" s="117"/>
      <c r="C11" s="117"/>
      <c r="D11" s="117"/>
      <c r="E11" s="117"/>
      <c r="F11" s="117"/>
      <c r="G11" s="117"/>
      <c r="H11" s="117"/>
      <c r="I11" s="117"/>
      <c r="J11" s="118"/>
    </row>
    <row r="12" spans="1:21" x14ac:dyDescent="0.25">
      <c r="A12" s="123"/>
      <c r="B12" s="117" t="str">
        <f ca="1">"The insured has had a claims-made policy since "&amp;YEAR(TODAY())-10&amp;"."</f>
        <v>The insured has had a claims-made policy since 2014.</v>
      </c>
      <c r="C12" s="117"/>
      <c r="D12" s="117"/>
      <c r="E12" s="117"/>
      <c r="F12" s="117"/>
      <c r="G12" s="117"/>
      <c r="H12" s="117"/>
      <c r="I12" s="117"/>
      <c r="J12" s="118"/>
      <c r="L12" s="173" t="s">
        <v>172</v>
      </c>
    </row>
    <row r="13" spans="1:21" x14ac:dyDescent="0.25">
      <c r="A13" s="123"/>
      <c r="B13" s="117" t="str">
        <f ca="1">"The prior one-year policies were effective January 1, "&amp;YEAR(TODAY())-3 &amp; ", January 1, "&amp;YEAR(TODAY())-2 &amp;", and January 1, "&amp;YEAR(TODAY())-1&amp;"."</f>
        <v>The prior one-year policies were effective January 1, 2021, January 1, 2022, and January 1, 2023.</v>
      </c>
      <c r="C13" s="117"/>
      <c r="D13" s="117"/>
      <c r="E13" s="117"/>
      <c r="F13" s="117"/>
      <c r="G13" s="117"/>
      <c r="H13" s="117"/>
      <c r="I13" s="117"/>
      <c r="J13" s="118"/>
      <c r="L13" s="173" t="s">
        <v>173</v>
      </c>
    </row>
    <row r="14" spans="1:21" x14ac:dyDescent="0.25">
      <c r="A14" s="123"/>
      <c r="B14" s="117" t="str">
        <f ca="1">"Loss data is as of June 30, " &amp;YEAR(TODAY())&amp;"."</f>
        <v>Loss data is as of June 30, 2024.</v>
      </c>
      <c r="C14" s="117"/>
      <c r="D14" s="117"/>
      <c r="E14" s="117"/>
      <c r="F14" s="117"/>
      <c r="G14" s="117"/>
      <c r="H14" s="117"/>
      <c r="I14" s="117"/>
      <c r="J14" s="118"/>
    </row>
    <row r="15" spans="1:21" x14ac:dyDescent="0.25">
      <c r="A15" s="123"/>
      <c r="B15" s="117"/>
      <c r="C15" s="117"/>
      <c r="D15" s="117"/>
      <c r="E15" s="117"/>
      <c r="F15" s="117"/>
      <c r="G15" s="117"/>
      <c r="H15" s="117"/>
      <c r="I15" s="117"/>
      <c r="J15" s="118"/>
      <c r="L15" s="173" t="s">
        <v>174</v>
      </c>
    </row>
    <row r="16" spans="1:21" x14ac:dyDescent="0.25">
      <c r="A16" s="123"/>
      <c r="B16" s="128" t="s">
        <v>146</v>
      </c>
      <c r="C16" s="129" t="s">
        <v>192</v>
      </c>
      <c r="D16" s="130"/>
      <c r="E16" s="131"/>
      <c r="F16" s="117"/>
      <c r="G16" s="117"/>
      <c r="H16" s="117"/>
      <c r="I16" s="117"/>
      <c r="J16" s="118"/>
    </row>
    <row r="17" spans="1:14" x14ac:dyDescent="0.25">
      <c r="A17" s="123"/>
      <c r="B17" s="132" t="s">
        <v>147</v>
      </c>
      <c r="C17" s="133" t="s">
        <v>150</v>
      </c>
      <c r="D17" s="134"/>
      <c r="E17" s="135"/>
      <c r="F17" s="117"/>
      <c r="G17" s="117"/>
      <c r="H17" s="117"/>
      <c r="I17" s="117"/>
      <c r="J17" s="118"/>
      <c r="L17" s="173" t="s">
        <v>175</v>
      </c>
    </row>
    <row r="18" spans="1:14" x14ac:dyDescent="0.25">
      <c r="A18" s="123"/>
      <c r="B18" s="136" t="s">
        <v>36</v>
      </c>
      <c r="C18" s="137"/>
      <c r="D18" s="138">
        <v>30000</v>
      </c>
      <c r="E18" s="139"/>
      <c r="F18" s="117"/>
      <c r="G18" s="117"/>
      <c r="H18" s="117"/>
      <c r="I18" s="117"/>
      <c r="J18" s="118"/>
      <c r="L18" s="198" t="s">
        <v>11</v>
      </c>
      <c r="M18" s="189" t="s">
        <v>99</v>
      </c>
      <c r="N18" s="185" t="s">
        <v>100</v>
      </c>
    </row>
    <row r="19" spans="1:14" x14ac:dyDescent="0.25">
      <c r="A19" s="123"/>
      <c r="B19" s="140" t="s">
        <v>148</v>
      </c>
      <c r="C19" s="137"/>
      <c r="D19" s="138">
        <v>75000</v>
      </c>
      <c r="E19" s="139"/>
      <c r="F19" s="117"/>
      <c r="G19" s="117"/>
      <c r="H19" s="117"/>
      <c r="I19" s="117"/>
      <c r="J19" s="118"/>
      <c r="L19" s="196">
        <f>D37</f>
        <v>0.75</v>
      </c>
      <c r="M19" s="199">
        <f>E37</f>
        <v>0.95</v>
      </c>
      <c r="N19" s="197">
        <f>F37</f>
        <v>74500</v>
      </c>
    </row>
    <row r="20" spans="1:14" x14ac:dyDescent="0.25">
      <c r="A20" s="123"/>
      <c r="B20" s="141" t="s">
        <v>149</v>
      </c>
      <c r="C20" s="142"/>
      <c r="D20" s="143">
        <v>45000</v>
      </c>
      <c r="E20" s="144"/>
      <c r="F20" s="117"/>
      <c r="G20" s="117"/>
      <c r="H20" s="117"/>
      <c r="I20" s="117"/>
      <c r="J20" s="118"/>
      <c r="N20" s="173" t="s">
        <v>184</v>
      </c>
    </row>
    <row r="21" spans="1:14" x14ac:dyDescent="0.25">
      <c r="A21" s="123"/>
      <c r="B21" s="117"/>
      <c r="C21" s="117"/>
      <c r="D21" s="117"/>
      <c r="E21" s="117"/>
      <c r="F21" s="117"/>
      <c r="G21" s="117"/>
      <c r="H21" s="117"/>
      <c r="I21" s="117"/>
      <c r="J21" s="118"/>
    </row>
    <row r="22" spans="1:14" x14ac:dyDescent="0.25">
      <c r="A22" s="123"/>
      <c r="B22" s="128" t="s">
        <v>146</v>
      </c>
      <c r="C22" s="136" t="s">
        <v>59</v>
      </c>
      <c r="D22" s="145" t="s">
        <v>152</v>
      </c>
      <c r="E22" s="117"/>
      <c r="F22" s="117"/>
      <c r="G22" s="117"/>
      <c r="H22" s="117"/>
      <c r="I22" s="117"/>
      <c r="J22" s="118"/>
      <c r="L22" t="s">
        <v>180</v>
      </c>
      <c r="N22" s="193">
        <f>SUM(D18:D20)</f>
        <v>150000</v>
      </c>
    </row>
    <row r="23" spans="1:14" x14ac:dyDescent="0.25">
      <c r="A23" s="123"/>
      <c r="B23" s="132" t="s">
        <v>147</v>
      </c>
      <c r="C23" s="141" t="s">
        <v>151</v>
      </c>
      <c r="D23" s="146" t="s">
        <v>105</v>
      </c>
      <c r="E23" s="117"/>
      <c r="F23" s="117"/>
      <c r="G23" s="117"/>
      <c r="H23" s="117"/>
      <c r="I23" s="117"/>
      <c r="J23" s="118"/>
    </row>
    <row r="24" spans="1:14" x14ac:dyDescent="0.25">
      <c r="A24" s="123"/>
      <c r="B24" s="147" t="s">
        <v>36</v>
      </c>
      <c r="C24" s="140">
        <v>0.81499999999999995</v>
      </c>
      <c r="D24" s="148">
        <v>0.54800000000000004</v>
      </c>
      <c r="E24" s="117"/>
      <c r="F24" s="117"/>
      <c r="G24" s="117"/>
      <c r="H24" s="117"/>
      <c r="I24" s="117"/>
      <c r="J24" s="118"/>
      <c r="L24" t="s">
        <v>181</v>
      </c>
    </row>
    <row r="25" spans="1:14" x14ac:dyDescent="0.25">
      <c r="A25" s="123"/>
      <c r="B25" s="147" t="s">
        <v>148</v>
      </c>
      <c r="C25" s="140">
        <v>0.73499999999999999</v>
      </c>
      <c r="D25" s="148">
        <v>0.40799999999999997</v>
      </c>
      <c r="E25" s="117"/>
      <c r="F25" s="117"/>
      <c r="G25" s="117"/>
      <c r="H25" s="117"/>
      <c r="I25" s="117"/>
      <c r="J25" s="118"/>
      <c r="L25" t="s">
        <v>182</v>
      </c>
      <c r="M25" s="194">
        <f>(N22+T10)/Q10</f>
        <v>0.67284530280988397</v>
      </c>
    </row>
    <row r="26" spans="1:14" x14ac:dyDescent="0.25">
      <c r="A26" s="123"/>
      <c r="B26" s="132" t="s">
        <v>149</v>
      </c>
      <c r="C26" s="141">
        <v>0.66400000000000003</v>
      </c>
      <c r="D26" s="146">
        <v>0.29299999999999998</v>
      </c>
      <c r="E26" s="117"/>
      <c r="F26" s="117"/>
      <c r="G26" s="117"/>
      <c r="H26" s="117"/>
      <c r="I26" s="117"/>
      <c r="J26" s="118"/>
    </row>
    <row r="27" spans="1:14" x14ac:dyDescent="0.25">
      <c r="A27" s="123"/>
      <c r="B27" s="117"/>
      <c r="C27" s="117"/>
      <c r="D27" s="117"/>
      <c r="E27" s="117"/>
      <c r="F27" s="117"/>
      <c r="G27" s="117"/>
      <c r="H27" s="117"/>
      <c r="I27" s="117"/>
      <c r="J27" s="118"/>
      <c r="L27" t="s">
        <v>183</v>
      </c>
    </row>
    <row r="28" spans="1:14" x14ac:dyDescent="0.25">
      <c r="A28" s="123"/>
      <c r="B28" s="149" t="s">
        <v>153</v>
      </c>
      <c r="C28" s="149"/>
      <c r="D28" s="149"/>
      <c r="E28" s="149"/>
      <c r="F28" s="149"/>
      <c r="G28" s="149"/>
      <c r="H28" s="117"/>
      <c r="I28" s="117"/>
      <c r="J28" s="118"/>
      <c r="L28" t="s">
        <v>185</v>
      </c>
      <c r="M28" s="200">
        <f>(M25-M19)/M19*L19</f>
        <v>-0.21880633988693371</v>
      </c>
    </row>
    <row r="29" spans="1:14" x14ac:dyDescent="0.25">
      <c r="A29" s="123"/>
      <c r="B29" s="117"/>
      <c r="C29" s="129" t="s">
        <v>154</v>
      </c>
      <c r="D29" s="130"/>
      <c r="E29" s="130"/>
      <c r="F29" s="130"/>
      <c r="G29" s="131"/>
      <c r="H29" s="117"/>
      <c r="I29" s="117"/>
      <c r="J29" s="118"/>
    </row>
    <row r="30" spans="1:14" x14ac:dyDescent="0.25">
      <c r="A30" s="123"/>
      <c r="B30" s="117"/>
      <c r="C30" s="147" t="s">
        <v>155</v>
      </c>
      <c r="D30" s="150" t="s">
        <v>156</v>
      </c>
      <c r="E30" s="150" t="s">
        <v>157</v>
      </c>
      <c r="F30" s="150" t="s">
        <v>158</v>
      </c>
      <c r="G30" s="148" t="s">
        <v>159</v>
      </c>
      <c r="H30" s="117"/>
      <c r="I30" s="117"/>
      <c r="J30" s="118"/>
    </row>
    <row r="31" spans="1:14" x14ac:dyDescent="0.25">
      <c r="A31" s="123"/>
      <c r="B31" s="151" t="s">
        <v>57</v>
      </c>
      <c r="C31" s="152">
        <v>1.03</v>
      </c>
      <c r="D31" s="152">
        <v>1.05</v>
      </c>
      <c r="E31" s="152">
        <v>1.06</v>
      </c>
      <c r="F31" s="152">
        <v>1.1200000000000001</v>
      </c>
      <c r="G31" s="153">
        <v>1.22</v>
      </c>
      <c r="H31" s="117"/>
      <c r="I31" s="117"/>
      <c r="J31" s="118"/>
    </row>
    <row r="32" spans="1:14" x14ac:dyDescent="0.25">
      <c r="A32" s="123"/>
      <c r="B32" s="141" t="s">
        <v>58</v>
      </c>
      <c r="C32" s="154">
        <v>0.94</v>
      </c>
      <c r="D32" s="154">
        <v>0.91</v>
      </c>
      <c r="E32" s="154">
        <v>0.88</v>
      </c>
      <c r="F32" s="154">
        <v>0.8</v>
      </c>
      <c r="G32" s="146">
        <v>0.67</v>
      </c>
      <c r="H32" s="117"/>
      <c r="I32" s="117"/>
      <c r="J32" s="118"/>
    </row>
    <row r="33" spans="1:10" x14ac:dyDescent="0.25">
      <c r="A33" s="123"/>
      <c r="B33" s="117"/>
      <c r="C33" s="117"/>
      <c r="D33" s="117"/>
      <c r="E33" s="117"/>
      <c r="F33" s="117"/>
      <c r="G33" s="117"/>
      <c r="H33" s="117"/>
      <c r="I33" s="117"/>
      <c r="J33" s="118"/>
    </row>
    <row r="34" spans="1:10" x14ac:dyDescent="0.25">
      <c r="A34" s="123"/>
      <c r="B34" s="117"/>
      <c r="C34" s="117"/>
      <c r="D34" s="117"/>
      <c r="E34" s="117"/>
      <c r="F34" s="117"/>
      <c r="G34" s="117"/>
      <c r="H34" s="117"/>
      <c r="I34" s="117"/>
      <c r="J34" s="118"/>
    </row>
    <row r="35" spans="1:10" x14ac:dyDescent="0.25">
      <c r="A35" s="123"/>
      <c r="B35" s="155" t="s">
        <v>165</v>
      </c>
      <c r="C35" s="156"/>
      <c r="D35" s="151" t="s">
        <v>11</v>
      </c>
      <c r="E35" s="151" t="s">
        <v>99</v>
      </c>
      <c r="F35" s="153" t="s">
        <v>100</v>
      </c>
      <c r="G35" s="117"/>
      <c r="H35" s="117"/>
      <c r="I35" s="117"/>
      <c r="J35" s="118"/>
    </row>
    <row r="36" spans="1:10" x14ac:dyDescent="0.25">
      <c r="A36" s="123"/>
      <c r="B36" s="129" t="s">
        <v>160</v>
      </c>
      <c r="C36" s="130"/>
      <c r="D36" s="157">
        <v>0.74</v>
      </c>
      <c r="E36" s="157">
        <v>0.94</v>
      </c>
      <c r="F36" s="158">
        <v>71000</v>
      </c>
      <c r="G36" s="117"/>
      <c r="H36" s="117"/>
      <c r="I36" s="117"/>
      <c r="J36" s="118"/>
    </row>
    <row r="37" spans="1:10" x14ac:dyDescent="0.25">
      <c r="A37" s="123"/>
      <c r="B37" s="159" t="s">
        <v>161</v>
      </c>
      <c r="C37" s="160"/>
      <c r="D37" s="157">
        <v>0.75</v>
      </c>
      <c r="E37" s="157">
        <v>0.95</v>
      </c>
      <c r="F37" s="161">
        <v>74500</v>
      </c>
      <c r="G37" s="117"/>
      <c r="H37" s="117"/>
      <c r="I37" s="117"/>
      <c r="J37" s="118"/>
    </row>
    <row r="38" spans="1:10" x14ac:dyDescent="0.25">
      <c r="A38" s="123"/>
      <c r="B38" s="159" t="s">
        <v>162</v>
      </c>
      <c r="C38" s="160"/>
      <c r="D38" s="157">
        <v>0.76</v>
      </c>
      <c r="E38" s="157">
        <v>0.96</v>
      </c>
      <c r="F38" s="161">
        <v>77000</v>
      </c>
      <c r="G38" s="117"/>
      <c r="H38" s="117"/>
      <c r="I38" s="117"/>
      <c r="J38" s="118"/>
    </row>
    <row r="39" spans="1:10" x14ac:dyDescent="0.25">
      <c r="A39" s="123"/>
      <c r="B39" s="159" t="s">
        <v>163</v>
      </c>
      <c r="C39" s="160"/>
      <c r="D39" s="157">
        <v>0.78</v>
      </c>
      <c r="E39" s="157">
        <v>0.97</v>
      </c>
      <c r="F39" s="161">
        <v>80000</v>
      </c>
      <c r="G39" s="117"/>
      <c r="H39" s="117"/>
      <c r="I39" s="117"/>
      <c r="J39" s="118"/>
    </row>
    <row r="40" spans="1:10" x14ac:dyDescent="0.25">
      <c r="A40" s="123"/>
      <c r="B40" s="133" t="s">
        <v>164</v>
      </c>
      <c r="C40" s="134"/>
      <c r="D40" s="162">
        <v>0.8</v>
      </c>
      <c r="E40" s="162">
        <v>0.98</v>
      </c>
      <c r="F40" s="163">
        <v>85000</v>
      </c>
      <c r="G40" s="117"/>
      <c r="H40" s="117"/>
      <c r="I40" s="117"/>
      <c r="J40" s="118"/>
    </row>
    <row r="41" spans="1:10" x14ac:dyDescent="0.25">
      <c r="A41" s="123"/>
      <c r="B41" s="117"/>
      <c r="C41" s="117"/>
      <c r="D41" s="117"/>
      <c r="E41" s="117"/>
      <c r="F41" s="120"/>
      <c r="G41" s="117"/>
      <c r="H41" s="117"/>
      <c r="I41" s="117"/>
      <c r="J41" s="118"/>
    </row>
    <row r="42" spans="1:10" x14ac:dyDescent="0.25">
      <c r="A42" s="116" t="s">
        <v>7</v>
      </c>
      <c r="B42" s="164" t="s">
        <v>166</v>
      </c>
      <c r="C42" s="117"/>
      <c r="D42" s="117"/>
      <c r="E42" s="117"/>
      <c r="F42" s="117"/>
      <c r="G42" s="117"/>
      <c r="H42" s="117"/>
      <c r="I42" s="117"/>
      <c r="J42" s="118"/>
    </row>
    <row r="43" spans="1:10" ht="15.75" thickBot="1" x14ac:dyDescent="0.3">
      <c r="A43" s="165"/>
      <c r="B43" s="166"/>
      <c r="C43" s="166"/>
      <c r="D43" s="166"/>
      <c r="E43" s="166"/>
      <c r="F43" s="166"/>
      <c r="G43" s="166"/>
      <c r="H43" s="166"/>
      <c r="I43" s="166"/>
      <c r="J43" s="167"/>
    </row>
  </sheetData>
  <mergeCells count="1">
    <mergeCell ref="I1:J1"/>
  </mergeCells>
  <hyperlinks>
    <hyperlink ref="I1" location="TOC!A1" display="Return to TOC" xr:uid="{9EB1694A-1715-4C61-9178-559B16CD22B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201F-79E7-41A9-BC17-E2E2A0DB5990}">
  <sheetPr codeName="Sheet3"/>
  <dimension ref="A1:U43"/>
  <sheetViews>
    <sheetView workbookViewId="0"/>
  </sheetViews>
  <sheetFormatPr defaultRowHeight="15" x14ac:dyDescent="0.25"/>
  <cols>
    <col min="1" max="1" width="13.5703125" bestFit="1" customWidth="1"/>
    <col min="2" max="2" width="10.5703125" customWidth="1"/>
    <col min="3" max="5" width="10.140625" customWidth="1"/>
    <col min="8" max="8" width="10.7109375" bestFit="1" customWidth="1"/>
    <col min="9" max="9" width="10.5703125" customWidth="1"/>
    <col min="10" max="10" width="9.85546875" customWidth="1"/>
    <col min="11" max="11" width="2.7109375" customWidth="1"/>
    <col min="12" max="12" width="11.5703125" bestFit="1" customWidth="1"/>
    <col min="17" max="17" width="10" bestFit="1" customWidth="1"/>
    <col min="20" max="20" width="10.140625" bestFit="1" customWidth="1"/>
  </cols>
  <sheetData>
    <row r="1" spans="1:21" x14ac:dyDescent="0.25">
      <c r="A1" s="168" t="s">
        <v>3</v>
      </c>
      <c r="B1" s="169" t="s">
        <v>12</v>
      </c>
      <c r="C1" s="117"/>
      <c r="D1" s="170"/>
      <c r="E1" s="169"/>
      <c r="F1" s="169"/>
      <c r="G1" s="169"/>
      <c r="H1" s="169"/>
      <c r="I1" s="301" t="s">
        <v>8</v>
      </c>
      <c r="J1" s="302"/>
      <c r="K1" s="20"/>
      <c r="L1" s="6" t="s">
        <v>9</v>
      </c>
    </row>
    <row r="2" spans="1:21" x14ac:dyDescent="0.25">
      <c r="A2" s="116" t="s">
        <v>4</v>
      </c>
      <c r="B2" s="117" t="s">
        <v>143</v>
      </c>
      <c r="C2" s="117"/>
      <c r="D2" s="117"/>
      <c r="E2" s="117"/>
      <c r="F2" s="117"/>
      <c r="G2" s="117"/>
      <c r="H2" s="117"/>
      <c r="I2" s="117"/>
      <c r="J2" s="118"/>
      <c r="K2" s="20"/>
      <c r="L2" s="7" t="s">
        <v>170</v>
      </c>
    </row>
    <row r="3" spans="1:21" x14ac:dyDescent="0.25">
      <c r="A3" s="116" t="s">
        <v>5</v>
      </c>
      <c r="B3" s="117" t="s">
        <v>215</v>
      </c>
      <c r="C3" s="117"/>
      <c r="D3" s="117"/>
      <c r="E3" s="117"/>
      <c r="F3" s="117"/>
      <c r="G3" s="117"/>
      <c r="H3" s="117"/>
      <c r="I3" s="117"/>
      <c r="J3" s="118"/>
      <c r="K3" s="20"/>
      <c r="L3" s="171">
        <f>B9*B10</f>
        <v>105000</v>
      </c>
    </row>
    <row r="4" spans="1:2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  <c r="K4" s="8"/>
    </row>
    <row r="5" spans="1:21" x14ac:dyDescent="0.25">
      <c r="A5" s="122" t="s">
        <v>6</v>
      </c>
      <c r="B5" s="117" t="str">
        <f ca="1">"An insurer is writing a claims-made General Liability experience rated policy effective January 1, "&amp;YEAR(TODAY())+1&amp;"."</f>
        <v>An insurer is writing a claims-made General Liability experience rated policy effective January 1, 2025.</v>
      </c>
      <c r="C5" s="117"/>
      <c r="D5" s="117"/>
      <c r="E5" s="117"/>
      <c r="F5" s="117"/>
      <c r="G5" s="117"/>
      <c r="H5" s="117"/>
      <c r="I5" s="117"/>
      <c r="J5" s="118"/>
      <c r="K5" s="8"/>
      <c r="L5" s="7" t="s">
        <v>186</v>
      </c>
    </row>
    <row r="6" spans="1:21" x14ac:dyDescent="0.25">
      <c r="A6" s="123"/>
      <c r="B6" s="117"/>
      <c r="C6" s="117"/>
      <c r="D6" s="117"/>
      <c r="E6" s="117"/>
      <c r="F6" s="117"/>
      <c r="G6" s="117"/>
      <c r="H6" s="117"/>
      <c r="I6" s="117"/>
      <c r="J6" s="118"/>
      <c r="L6" t="s">
        <v>190</v>
      </c>
    </row>
    <row r="7" spans="1:21" x14ac:dyDescent="0.25">
      <c r="A7" s="123"/>
      <c r="B7" s="117" t="s">
        <v>144</v>
      </c>
      <c r="C7" s="117"/>
      <c r="D7" s="117"/>
      <c r="E7" s="117"/>
      <c r="F7" s="117"/>
      <c r="G7" s="117"/>
      <c r="H7" s="117"/>
      <c r="I7" s="117"/>
      <c r="J7" s="118"/>
    </row>
    <row r="8" spans="1:21" x14ac:dyDescent="0.25">
      <c r="A8" s="123"/>
      <c r="B8" s="117"/>
      <c r="C8" s="117"/>
      <c r="D8" s="117"/>
      <c r="E8" s="117"/>
      <c r="F8" s="117"/>
      <c r="G8" s="117"/>
      <c r="H8" s="117"/>
      <c r="I8" s="117"/>
      <c r="J8" s="118"/>
      <c r="L8" s="186" t="s">
        <v>171</v>
      </c>
      <c r="M8" s="184" t="s">
        <v>56</v>
      </c>
      <c r="N8" s="184" t="s">
        <v>57</v>
      </c>
      <c r="O8" s="184" t="s">
        <v>58</v>
      </c>
      <c r="P8" s="184" t="s">
        <v>59</v>
      </c>
      <c r="Q8" s="189" t="s">
        <v>10</v>
      </c>
      <c r="R8" s="184" t="s">
        <v>105</v>
      </c>
      <c r="S8" s="184" t="s">
        <v>99</v>
      </c>
      <c r="T8" s="189" t="s">
        <v>10</v>
      </c>
    </row>
    <row r="9" spans="1:21" x14ac:dyDescent="0.25">
      <c r="A9" s="123"/>
      <c r="B9" s="124">
        <v>150000</v>
      </c>
      <c r="C9" s="125" t="str">
        <f ca="1">YEAR(TODAY())+1&amp;" basic limits premium"</f>
        <v>2025 basic limits premium</v>
      </c>
      <c r="D9" s="125"/>
      <c r="E9" s="126"/>
      <c r="F9" s="117"/>
      <c r="G9" s="117"/>
      <c r="H9" s="117"/>
      <c r="I9" s="117"/>
      <c r="J9" s="118"/>
      <c r="L9" s="187">
        <f ca="1">YEAR(TODAY())-1</f>
        <v>2023</v>
      </c>
      <c r="M9" s="177">
        <f>$L$3</f>
        <v>105000</v>
      </c>
      <c r="N9" s="174">
        <f>$G$31</f>
        <v>1.22</v>
      </c>
      <c r="O9" s="178">
        <f>H32</f>
        <v>1</v>
      </c>
      <c r="P9" s="4">
        <f>C24</f>
        <v>0.81499999999999995</v>
      </c>
      <c r="Q9" s="190">
        <f>PRODUCT(M9:P9)</f>
        <v>104401.5</v>
      </c>
      <c r="R9" s="4">
        <f>E24</f>
        <v>0.54800000000000004</v>
      </c>
      <c r="S9" s="178">
        <f>$M$19</f>
        <v>0.97</v>
      </c>
      <c r="T9" s="190">
        <f>PRODUCT(Q9:S9)</f>
        <v>55495.661340000006</v>
      </c>
    </row>
    <row r="10" spans="1:21" x14ac:dyDescent="0.25">
      <c r="A10" s="123"/>
      <c r="B10" s="127">
        <v>0.7</v>
      </c>
      <c r="C10" s="125" t="s">
        <v>145</v>
      </c>
      <c r="D10" s="125"/>
      <c r="E10" s="126"/>
      <c r="F10" s="117"/>
      <c r="G10" s="117"/>
      <c r="H10" s="117"/>
      <c r="I10" s="117"/>
      <c r="J10" s="118"/>
      <c r="L10" s="187">
        <f ca="1">L9-1</f>
        <v>2022</v>
      </c>
      <c r="M10" s="177">
        <f>$L$3</f>
        <v>105000</v>
      </c>
      <c r="N10" s="4">
        <f>$G$31</f>
        <v>1.22</v>
      </c>
      <c r="O10" s="178">
        <f>H32</f>
        <v>1</v>
      </c>
      <c r="P10" s="4">
        <f>C25</f>
        <v>0.73499999999999999</v>
      </c>
      <c r="Q10" s="190">
        <f>PRODUCT(M10:P10)</f>
        <v>94153.5</v>
      </c>
      <c r="R10" s="4">
        <f t="shared" ref="R10:R11" si="0">E25</f>
        <v>0.40799999999999997</v>
      </c>
      <c r="S10" s="178">
        <f>$M$19</f>
        <v>0.97</v>
      </c>
      <c r="T10" s="190">
        <f>PRODUCT(Q10:S10)</f>
        <v>37262.189159999994</v>
      </c>
    </row>
    <row r="11" spans="1:21" x14ac:dyDescent="0.25">
      <c r="A11" s="123"/>
      <c r="B11" s="117"/>
      <c r="C11" s="117"/>
      <c r="D11" s="117"/>
      <c r="E11" s="117"/>
      <c r="F11" s="117"/>
      <c r="G11" s="117"/>
      <c r="H11" s="117"/>
      <c r="I11" s="117"/>
      <c r="J11" s="118"/>
      <c r="L11" s="188">
        <f ca="1">L10-1</f>
        <v>2021</v>
      </c>
      <c r="M11" s="180">
        <f>$L$3</f>
        <v>105000</v>
      </c>
      <c r="N11" s="181">
        <f>$G$31</f>
        <v>1.22</v>
      </c>
      <c r="O11" s="182">
        <f>H32</f>
        <v>1</v>
      </c>
      <c r="P11" s="181">
        <f>C26</f>
        <v>0.66400000000000003</v>
      </c>
      <c r="Q11" s="191">
        <f>PRODUCT(M11:P11)</f>
        <v>85058.400000000009</v>
      </c>
      <c r="R11" s="181">
        <f t="shared" si="0"/>
        <v>0.29299999999999998</v>
      </c>
      <c r="S11" s="182">
        <f>$M$19</f>
        <v>0.97</v>
      </c>
      <c r="T11" s="191">
        <f>PRODUCT(Q11:S11)</f>
        <v>24174.447863999998</v>
      </c>
    </row>
    <row r="12" spans="1:21" x14ac:dyDescent="0.25">
      <c r="A12" s="123"/>
      <c r="B12" s="117" t="str">
        <f ca="1">"The insured has had an occurrence policy since "&amp;YEAR(TODAY())-4&amp;"."</f>
        <v>The insured has had an occurrence policy since 2020.</v>
      </c>
      <c r="C12" s="117"/>
      <c r="D12" s="117"/>
      <c r="E12" s="117"/>
      <c r="F12" s="117"/>
      <c r="G12" s="117"/>
      <c r="H12" s="117"/>
      <c r="I12" s="117"/>
      <c r="J12" s="118"/>
      <c r="P12" s="173" t="s">
        <v>176</v>
      </c>
      <c r="Q12" s="192">
        <f>SUM(Q9:Q11)</f>
        <v>283613.40000000002</v>
      </c>
      <c r="T12" s="192">
        <f>SUM(T9:T11)</f>
        <v>116932.298364</v>
      </c>
      <c r="U12" s="173" t="s">
        <v>177</v>
      </c>
    </row>
    <row r="13" spans="1:21" x14ac:dyDescent="0.25">
      <c r="A13" s="123"/>
      <c r="B13" s="117" t="str">
        <f ca="1">"The prior one-year policies were effective January 1, "&amp;YEAR(TODAY())-3 &amp; ", January 1, "&amp;YEAR(TODAY())-2 &amp;", and January 1, "&amp;YEAR(TODAY())-1&amp;"."</f>
        <v>The prior one-year policies were effective January 1, 2021, January 1, 2022, and January 1, 2023.</v>
      </c>
      <c r="C13" s="117"/>
      <c r="D13" s="117"/>
      <c r="E13" s="117"/>
      <c r="F13" s="117"/>
      <c r="G13" s="117"/>
      <c r="H13" s="117"/>
      <c r="I13" s="117"/>
      <c r="J13" s="118"/>
    </row>
    <row r="14" spans="1:21" x14ac:dyDescent="0.25">
      <c r="A14" s="123"/>
      <c r="B14" s="117" t="str">
        <f ca="1">"Loss data is as of June 30, " &amp;YEAR(TODAY())&amp;"."</f>
        <v>Loss data is as of June 30, 2024.</v>
      </c>
      <c r="C14" s="117"/>
      <c r="D14" s="117"/>
      <c r="E14" s="117"/>
      <c r="F14" s="117"/>
      <c r="G14" s="117"/>
      <c r="H14" s="117"/>
      <c r="I14" s="117"/>
      <c r="J14" s="118"/>
      <c r="L14" s="173" t="s">
        <v>172</v>
      </c>
    </row>
    <row r="15" spans="1:21" x14ac:dyDescent="0.25">
      <c r="A15" s="123"/>
      <c r="B15" s="117"/>
      <c r="C15" s="117"/>
      <c r="D15" s="117"/>
      <c r="E15" s="117"/>
      <c r="F15" s="117"/>
      <c r="G15" s="117"/>
      <c r="H15" s="117"/>
      <c r="I15" s="117"/>
      <c r="J15" s="118"/>
      <c r="L15" s="173" t="s">
        <v>173</v>
      </c>
    </row>
    <row r="16" spans="1:21" x14ac:dyDescent="0.25">
      <c r="A16" s="123"/>
      <c r="B16" s="128" t="s">
        <v>146</v>
      </c>
      <c r="C16" s="129" t="s">
        <v>192</v>
      </c>
      <c r="D16" s="130"/>
      <c r="E16" s="131"/>
      <c r="F16" s="117"/>
      <c r="G16" s="117"/>
      <c r="H16" s="117"/>
      <c r="I16" s="117"/>
      <c r="J16" s="118"/>
    </row>
    <row r="17" spans="1:15" x14ac:dyDescent="0.25">
      <c r="A17" s="123"/>
      <c r="B17" s="132" t="s">
        <v>147</v>
      </c>
      <c r="C17" s="133" t="s">
        <v>150</v>
      </c>
      <c r="D17" s="134"/>
      <c r="E17" s="135"/>
      <c r="F17" s="117"/>
      <c r="G17" s="117"/>
      <c r="H17" s="117"/>
      <c r="I17" s="117"/>
      <c r="J17" s="118"/>
      <c r="L17" s="173" t="s">
        <v>175</v>
      </c>
    </row>
    <row r="18" spans="1:15" x14ac:dyDescent="0.25">
      <c r="A18" s="123"/>
      <c r="B18" s="136" t="s">
        <v>36</v>
      </c>
      <c r="C18" s="137"/>
      <c r="D18" s="138">
        <v>30000</v>
      </c>
      <c r="E18" s="139"/>
      <c r="F18" s="117"/>
      <c r="G18" s="117"/>
      <c r="H18" s="117"/>
      <c r="I18" s="117"/>
      <c r="J18" s="118"/>
      <c r="L18" s="198" t="s">
        <v>11</v>
      </c>
      <c r="M18" s="189" t="s">
        <v>99</v>
      </c>
      <c r="N18" s="185" t="s">
        <v>100</v>
      </c>
    </row>
    <row r="19" spans="1:15" x14ac:dyDescent="0.25">
      <c r="A19" s="123"/>
      <c r="B19" s="140" t="s">
        <v>148</v>
      </c>
      <c r="C19" s="137"/>
      <c r="D19" s="138">
        <v>95000</v>
      </c>
      <c r="E19" s="139"/>
      <c r="F19" s="117"/>
      <c r="G19" s="117"/>
      <c r="H19" s="117"/>
      <c r="I19" s="117"/>
      <c r="J19" s="118"/>
      <c r="L19" s="196">
        <f>D39</f>
        <v>0.78</v>
      </c>
      <c r="M19" s="199">
        <f>E39</f>
        <v>0.97</v>
      </c>
      <c r="N19" s="197">
        <f>F39</f>
        <v>80000</v>
      </c>
      <c r="O19" s="173"/>
    </row>
    <row r="20" spans="1:15" x14ac:dyDescent="0.25">
      <c r="A20" s="123"/>
      <c r="B20" s="141" t="s">
        <v>149</v>
      </c>
      <c r="C20" s="142"/>
      <c r="D20" s="143">
        <v>45000</v>
      </c>
      <c r="E20" s="144"/>
      <c r="F20" s="117"/>
      <c r="G20" s="117"/>
      <c r="H20" s="117"/>
      <c r="I20" s="117"/>
      <c r="J20" s="118"/>
    </row>
    <row r="21" spans="1:15" x14ac:dyDescent="0.25">
      <c r="A21" s="123"/>
      <c r="B21" s="117"/>
      <c r="C21" s="117"/>
      <c r="D21" s="117"/>
      <c r="E21" s="117"/>
      <c r="F21" s="117"/>
      <c r="G21" s="117"/>
      <c r="H21" s="117"/>
      <c r="I21" s="117"/>
      <c r="J21" s="118"/>
      <c r="L21" t="s">
        <v>180</v>
      </c>
      <c r="N21" s="193">
        <f>SUM(D18:D20)</f>
        <v>170000</v>
      </c>
      <c r="O21" s="173" t="s">
        <v>191</v>
      </c>
    </row>
    <row r="22" spans="1:15" x14ac:dyDescent="0.25">
      <c r="A22" s="123"/>
      <c r="B22" s="128" t="s">
        <v>146</v>
      </c>
      <c r="C22" s="136" t="s">
        <v>187</v>
      </c>
      <c r="D22" s="136" t="s">
        <v>187</v>
      </c>
      <c r="E22" s="145" t="s">
        <v>152</v>
      </c>
      <c r="F22" s="117"/>
      <c r="G22" s="117"/>
      <c r="H22" s="117"/>
      <c r="I22" s="117"/>
      <c r="J22" s="118"/>
    </row>
    <row r="23" spans="1:15" x14ac:dyDescent="0.25">
      <c r="A23" s="123"/>
      <c r="B23" s="132" t="s">
        <v>147</v>
      </c>
      <c r="C23" s="141" t="s">
        <v>188</v>
      </c>
      <c r="D23" s="141" t="s">
        <v>189</v>
      </c>
      <c r="E23" s="146" t="s">
        <v>105</v>
      </c>
      <c r="F23" s="117"/>
      <c r="G23" s="117"/>
      <c r="H23" s="117"/>
      <c r="I23" s="117"/>
      <c r="J23" s="118"/>
      <c r="L23" t="s">
        <v>181</v>
      </c>
    </row>
    <row r="24" spans="1:15" x14ac:dyDescent="0.25">
      <c r="A24" s="123"/>
      <c r="B24" s="147" t="s">
        <v>36</v>
      </c>
      <c r="C24" s="140">
        <v>0.81499999999999995</v>
      </c>
      <c r="D24" s="231">
        <v>0.88</v>
      </c>
      <c r="E24" s="148">
        <v>0.54800000000000004</v>
      </c>
      <c r="F24" s="117"/>
      <c r="G24" s="117"/>
      <c r="H24" s="117"/>
      <c r="I24" s="117"/>
      <c r="J24" s="118"/>
      <c r="L24" t="s">
        <v>182</v>
      </c>
      <c r="M24" s="194">
        <f>(N21+T12)/Q12</f>
        <v>1.0117021916594913</v>
      </c>
    </row>
    <row r="25" spans="1:15" x14ac:dyDescent="0.25">
      <c r="A25" s="123"/>
      <c r="B25" s="147" t="s">
        <v>148</v>
      </c>
      <c r="C25" s="140">
        <v>0.73499999999999999</v>
      </c>
      <c r="D25" s="140">
        <v>0.79300000000000004</v>
      </c>
      <c r="E25" s="148">
        <v>0.40799999999999997</v>
      </c>
      <c r="F25" s="117"/>
      <c r="G25" s="117"/>
      <c r="H25" s="117"/>
      <c r="I25" s="117"/>
      <c r="J25" s="118"/>
    </row>
    <row r="26" spans="1:15" x14ac:dyDescent="0.25">
      <c r="A26" s="123"/>
      <c r="B26" s="132" t="s">
        <v>149</v>
      </c>
      <c r="C26" s="141">
        <v>0.66400000000000003</v>
      </c>
      <c r="D26" s="141">
        <v>0.70799999999999996</v>
      </c>
      <c r="E26" s="146">
        <v>0.29299999999999998</v>
      </c>
      <c r="F26" s="117"/>
      <c r="G26" s="117"/>
      <c r="H26" s="117"/>
      <c r="I26" s="117"/>
      <c r="J26" s="118"/>
      <c r="L26" t="s">
        <v>183</v>
      </c>
    </row>
    <row r="27" spans="1:15" x14ac:dyDescent="0.25">
      <c r="A27" s="123"/>
      <c r="B27" s="117"/>
      <c r="C27" s="117"/>
      <c r="D27" s="117"/>
      <c r="E27" s="117"/>
      <c r="F27" s="117"/>
      <c r="G27" s="117"/>
      <c r="H27" s="117"/>
      <c r="I27" s="117"/>
      <c r="J27" s="118"/>
      <c r="L27" t="s">
        <v>185</v>
      </c>
      <c r="M27" s="204">
        <f>(M24-M19)/M19*L19</f>
        <v>3.3533721128250732E-2</v>
      </c>
    </row>
    <row r="28" spans="1:15" x14ac:dyDescent="0.25">
      <c r="A28" s="123"/>
      <c r="B28" s="149" t="s">
        <v>153</v>
      </c>
      <c r="C28" s="149"/>
      <c r="D28" s="149"/>
      <c r="E28" s="149"/>
      <c r="F28" s="149"/>
      <c r="G28" s="149"/>
      <c r="H28" s="117"/>
      <c r="I28" s="117"/>
      <c r="J28" s="118"/>
    </row>
    <row r="29" spans="1:15" x14ac:dyDescent="0.25">
      <c r="A29" s="123"/>
      <c r="B29" s="117"/>
      <c r="C29" s="129" t="s">
        <v>154</v>
      </c>
      <c r="D29" s="130"/>
      <c r="E29" s="130"/>
      <c r="F29" s="130"/>
      <c r="G29" s="131"/>
      <c r="H29" s="201"/>
      <c r="I29" s="117"/>
      <c r="J29" s="118"/>
      <c r="L29" t="s">
        <v>194</v>
      </c>
      <c r="O29" s="205">
        <f>1+M27</f>
        <v>1.0335337211282507</v>
      </c>
    </row>
    <row r="30" spans="1:15" x14ac:dyDescent="0.25">
      <c r="A30" s="123"/>
      <c r="B30" s="117"/>
      <c r="C30" s="147" t="s">
        <v>155</v>
      </c>
      <c r="D30" s="150" t="s">
        <v>156</v>
      </c>
      <c r="E30" s="150" t="s">
        <v>157</v>
      </c>
      <c r="F30" s="150" t="s">
        <v>158</v>
      </c>
      <c r="G30" s="148" t="s">
        <v>159</v>
      </c>
      <c r="H30" s="202" t="s">
        <v>23</v>
      </c>
      <c r="I30" s="117"/>
      <c r="J30" s="118"/>
    </row>
    <row r="31" spans="1:15" x14ac:dyDescent="0.25">
      <c r="A31" s="123"/>
      <c r="B31" s="151" t="s">
        <v>57</v>
      </c>
      <c r="C31" s="152">
        <v>1.03</v>
      </c>
      <c r="D31" s="152">
        <v>1.05</v>
      </c>
      <c r="E31" s="152">
        <v>1.06</v>
      </c>
      <c r="F31" s="152">
        <v>1.1200000000000001</v>
      </c>
      <c r="G31" s="153">
        <v>1.22</v>
      </c>
      <c r="H31" s="203">
        <v>1</v>
      </c>
      <c r="I31" s="117"/>
      <c r="J31" s="118"/>
    </row>
    <row r="32" spans="1:15" x14ac:dyDescent="0.25">
      <c r="A32" s="123"/>
      <c r="B32" s="141" t="s">
        <v>58</v>
      </c>
      <c r="C32" s="154">
        <v>0.94</v>
      </c>
      <c r="D32" s="154">
        <v>0.91</v>
      </c>
      <c r="E32" s="154">
        <v>0.88</v>
      </c>
      <c r="F32" s="154">
        <v>0.8</v>
      </c>
      <c r="G32" s="146">
        <v>0.67</v>
      </c>
      <c r="H32" s="162">
        <v>1</v>
      </c>
      <c r="I32" s="117"/>
      <c r="J32" s="118"/>
    </row>
    <row r="33" spans="1:10" x14ac:dyDescent="0.25">
      <c r="A33" s="123"/>
      <c r="B33" s="117"/>
      <c r="C33" s="117"/>
      <c r="D33" s="117"/>
      <c r="E33" s="117"/>
      <c r="F33" s="117"/>
      <c r="G33" s="117"/>
      <c r="H33" s="117"/>
      <c r="I33" s="117"/>
      <c r="J33" s="118"/>
    </row>
    <row r="34" spans="1:10" x14ac:dyDescent="0.25">
      <c r="A34" s="123"/>
      <c r="B34" s="117"/>
      <c r="C34" s="117"/>
      <c r="D34" s="117"/>
      <c r="E34" s="117"/>
      <c r="F34" s="117"/>
      <c r="G34" s="117"/>
      <c r="H34" s="117"/>
      <c r="I34" s="117"/>
      <c r="J34" s="118"/>
    </row>
    <row r="35" spans="1:10" x14ac:dyDescent="0.25">
      <c r="A35" s="123"/>
      <c r="B35" s="155" t="s">
        <v>165</v>
      </c>
      <c r="C35" s="156"/>
      <c r="D35" s="151" t="s">
        <v>11</v>
      </c>
      <c r="E35" s="151" t="s">
        <v>99</v>
      </c>
      <c r="F35" s="153" t="s">
        <v>100</v>
      </c>
      <c r="G35" s="117"/>
      <c r="H35" s="117"/>
      <c r="I35" s="117"/>
      <c r="J35" s="118"/>
    </row>
    <row r="36" spans="1:10" x14ac:dyDescent="0.25">
      <c r="A36" s="123"/>
      <c r="B36" s="129" t="s">
        <v>160</v>
      </c>
      <c r="C36" s="130"/>
      <c r="D36" s="157">
        <v>0.74</v>
      </c>
      <c r="E36" s="157">
        <v>0.94</v>
      </c>
      <c r="F36" s="158">
        <v>71000</v>
      </c>
      <c r="G36" s="117"/>
      <c r="H36" s="117"/>
      <c r="I36" s="117"/>
      <c r="J36" s="118"/>
    </row>
    <row r="37" spans="1:10" x14ac:dyDescent="0.25">
      <c r="A37" s="123"/>
      <c r="B37" s="159" t="s">
        <v>161</v>
      </c>
      <c r="C37" s="160"/>
      <c r="D37" s="157">
        <v>0.75</v>
      </c>
      <c r="E37" s="157">
        <v>0.95</v>
      </c>
      <c r="F37" s="161">
        <v>74500</v>
      </c>
      <c r="G37" s="117"/>
      <c r="H37" s="117"/>
      <c r="I37" s="117"/>
      <c r="J37" s="118"/>
    </row>
    <row r="38" spans="1:10" x14ac:dyDescent="0.25">
      <c r="A38" s="123"/>
      <c r="B38" s="159" t="s">
        <v>162</v>
      </c>
      <c r="C38" s="160"/>
      <c r="D38" s="157">
        <v>0.76</v>
      </c>
      <c r="E38" s="157">
        <v>0.96</v>
      </c>
      <c r="F38" s="161">
        <v>77000</v>
      </c>
      <c r="G38" s="117"/>
      <c r="H38" s="117"/>
      <c r="I38" s="117"/>
      <c r="J38" s="118"/>
    </row>
    <row r="39" spans="1:10" x14ac:dyDescent="0.25">
      <c r="A39" s="123"/>
      <c r="B39" s="159" t="s">
        <v>163</v>
      </c>
      <c r="C39" s="160"/>
      <c r="D39" s="157">
        <v>0.78</v>
      </c>
      <c r="E39" s="157">
        <v>0.97</v>
      </c>
      <c r="F39" s="161">
        <v>80000</v>
      </c>
      <c r="G39" s="117"/>
      <c r="H39" s="117"/>
      <c r="I39" s="117"/>
      <c r="J39" s="118"/>
    </row>
    <row r="40" spans="1:10" x14ac:dyDescent="0.25">
      <c r="A40" s="123"/>
      <c r="B40" s="133" t="s">
        <v>164</v>
      </c>
      <c r="C40" s="134"/>
      <c r="D40" s="162">
        <v>0.8</v>
      </c>
      <c r="E40" s="162">
        <v>0.98</v>
      </c>
      <c r="F40" s="163">
        <v>85000</v>
      </c>
      <c r="G40" s="117"/>
      <c r="H40" s="117"/>
      <c r="I40" s="117"/>
      <c r="J40" s="118"/>
    </row>
    <row r="41" spans="1:10" x14ac:dyDescent="0.25">
      <c r="A41" s="123"/>
      <c r="B41" s="117"/>
      <c r="C41" s="117"/>
      <c r="D41" s="117"/>
      <c r="E41" s="117"/>
      <c r="F41" s="120"/>
      <c r="G41" s="117"/>
      <c r="H41" s="117"/>
      <c r="I41" s="117"/>
      <c r="J41" s="118"/>
    </row>
    <row r="42" spans="1:10" x14ac:dyDescent="0.25">
      <c r="A42" s="116" t="s">
        <v>7</v>
      </c>
      <c r="B42" s="164" t="s">
        <v>193</v>
      </c>
      <c r="C42" s="117"/>
      <c r="D42" s="117"/>
      <c r="E42" s="117"/>
      <c r="F42" s="117"/>
      <c r="G42" s="117"/>
      <c r="H42" s="117"/>
      <c r="I42" s="117"/>
      <c r="J42" s="118"/>
    </row>
    <row r="43" spans="1:10" ht="15.75" thickBot="1" x14ac:dyDescent="0.3">
      <c r="A43" s="165"/>
      <c r="B43" s="166"/>
      <c r="C43" s="166"/>
      <c r="D43" s="166"/>
      <c r="E43" s="166"/>
      <c r="F43" s="166"/>
      <c r="G43" s="166"/>
      <c r="H43" s="166"/>
      <c r="I43" s="166"/>
      <c r="J43" s="167"/>
    </row>
  </sheetData>
  <mergeCells count="1">
    <mergeCell ref="I1:J1"/>
  </mergeCells>
  <hyperlinks>
    <hyperlink ref="I1" location="TOC!A1" display="Return to TOC" xr:uid="{BF1577E2-121A-4C05-8D5D-0891D0D482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8F48-DB13-4520-B565-ED13F4BC71DA}">
  <sheetPr codeName="Sheet4"/>
  <dimension ref="A1:N22"/>
  <sheetViews>
    <sheetView workbookViewId="0"/>
  </sheetViews>
  <sheetFormatPr defaultRowHeight="15" x14ac:dyDescent="0.25"/>
  <cols>
    <col min="1" max="1" width="13.5703125" bestFit="1" customWidth="1"/>
    <col min="3" max="3" width="11" customWidth="1"/>
    <col min="4" max="4" width="19" bestFit="1" customWidth="1"/>
    <col min="10" max="10" width="2.7109375" customWidth="1"/>
    <col min="12" max="12" width="9.85546875" bestFit="1" customWidth="1"/>
  </cols>
  <sheetData>
    <row r="1" spans="1:14" x14ac:dyDescent="0.25">
      <c r="A1" s="168" t="s">
        <v>3</v>
      </c>
      <c r="B1" s="169" t="s">
        <v>12</v>
      </c>
      <c r="C1" s="117"/>
      <c r="D1" s="170"/>
      <c r="E1" s="169"/>
      <c r="F1" s="169"/>
      <c r="G1" s="169"/>
      <c r="H1" s="301" t="s">
        <v>8</v>
      </c>
      <c r="I1" s="302"/>
      <c r="K1" s="6" t="s">
        <v>9</v>
      </c>
    </row>
    <row r="2" spans="1:14" x14ac:dyDescent="0.25">
      <c r="A2" s="116" t="s">
        <v>4</v>
      </c>
      <c r="B2" s="117" t="s">
        <v>195</v>
      </c>
      <c r="C2" s="117"/>
      <c r="D2" s="117"/>
      <c r="E2" s="117"/>
      <c r="F2" s="117"/>
      <c r="G2" s="117"/>
      <c r="H2" s="117"/>
      <c r="I2" s="118"/>
      <c r="K2" t="s">
        <v>204</v>
      </c>
    </row>
    <row r="3" spans="1:14" x14ac:dyDescent="0.25">
      <c r="A3" s="116" t="s">
        <v>5</v>
      </c>
      <c r="B3" s="117" t="s">
        <v>212</v>
      </c>
      <c r="C3" s="117"/>
      <c r="D3" s="117"/>
      <c r="E3" s="117"/>
      <c r="F3" s="117"/>
      <c r="G3" s="117"/>
      <c r="H3" s="117"/>
      <c r="I3" s="118"/>
      <c r="K3" t="s">
        <v>208</v>
      </c>
    </row>
    <row r="4" spans="1:14" x14ac:dyDescent="0.25">
      <c r="A4" s="119"/>
      <c r="B4" s="120"/>
      <c r="C4" s="120"/>
      <c r="D4" s="120"/>
      <c r="E4" s="120"/>
      <c r="F4" s="120"/>
      <c r="G4" s="120"/>
      <c r="H4" s="120"/>
      <c r="I4" s="121"/>
    </row>
    <row r="5" spans="1:14" x14ac:dyDescent="0.25">
      <c r="A5" s="122" t="s">
        <v>6</v>
      </c>
      <c r="B5" s="117" t="s">
        <v>196</v>
      </c>
      <c r="C5" s="117"/>
      <c r="D5" s="117"/>
      <c r="E5" s="117"/>
      <c r="F5" s="117"/>
      <c r="G5" s="117"/>
      <c r="H5" s="117"/>
      <c r="I5" s="118"/>
      <c r="K5" s="195"/>
      <c r="L5" s="207" t="s">
        <v>209</v>
      </c>
      <c r="M5" s="207" t="s">
        <v>210</v>
      </c>
      <c r="N5" s="175" t="s">
        <v>211</v>
      </c>
    </row>
    <row r="6" spans="1:14" x14ac:dyDescent="0.25">
      <c r="A6" s="123"/>
      <c r="B6" s="117" t="s">
        <v>197</v>
      </c>
      <c r="C6" s="117"/>
      <c r="D6" s="117"/>
      <c r="E6" s="117"/>
      <c r="F6" s="117"/>
      <c r="G6" s="117"/>
      <c r="H6" s="117"/>
      <c r="I6" s="118"/>
      <c r="K6" s="179" t="s">
        <v>203</v>
      </c>
      <c r="L6" s="188" t="s">
        <v>101</v>
      </c>
      <c r="M6" s="188" t="s">
        <v>102</v>
      </c>
      <c r="N6" s="183" t="s">
        <v>100</v>
      </c>
    </row>
    <row r="7" spans="1:14" x14ac:dyDescent="0.25">
      <c r="A7" s="123"/>
      <c r="B7" s="117"/>
      <c r="C7" s="117"/>
      <c r="D7" s="117"/>
      <c r="E7" s="117"/>
      <c r="F7" s="117"/>
      <c r="G7" s="117"/>
      <c r="H7" s="117"/>
      <c r="I7" s="118"/>
      <c r="K7" s="176">
        <v>1</v>
      </c>
      <c r="L7" s="215">
        <f>MIN($B$18,C10)</f>
        <v>91000</v>
      </c>
      <c r="M7" s="215">
        <f>L7+D10</f>
        <v>127000</v>
      </c>
      <c r="N7" s="213">
        <f>MIN($B$19,M7)</f>
        <v>125000</v>
      </c>
    </row>
    <row r="8" spans="1:14" x14ac:dyDescent="0.25">
      <c r="A8" s="123"/>
      <c r="B8" s="128"/>
      <c r="C8" s="136" t="s">
        <v>198</v>
      </c>
      <c r="D8" s="145" t="s">
        <v>199</v>
      </c>
      <c r="E8" s="117"/>
      <c r="F8" s="117"/>
      <c r="G8" s="117"/>
      <c r="H8" s="117"/>
      <c r="I8" s="118"/>
      <c r="K8" s="176">
        <v>2</v>
      </c>
      <c r="L8" s="215">
        <f t="shared" ref="L8:L12" si="0">MIN($B$18,C11)</f>
        <v>100000</v>
      </c>
      <c r="M8" s="215">
        <f t="shared" ref="M8:M12" si="1">L8+D11</f>
        <v>138000</v>
      </c>
      <c r="N8" s="213">
        <f t="shared" ref="N8:N12" si="2">MIN($B$19,M8)</f>
        <v>125000</v>
      </c>
    </row>
    <row r="9" spans="1:14" x14ac:dyDescent="0.25">
      <c r="A9" s="123"/>
      <c r="B9" s="132" t="s">
        <v>203</v>
      </c>
      <c r="C9" s="141" t="s">
        <v>101</v>
      </c>
      <c r="D9" s="146" t="s">
        <v>200</v>
      </c>
      <c r="E9" s="117"/>
      <c r="F9" s="117"/>
      <c r="G9" s="117"/>
      <c r="H9" s="117"/>
      <c r="I9" s="118"/>
      <c r="K9" s="176">
        <v>3</v>
      </c>
      <c r="L9" s="215">
        <f t="shared" si="0"/>
        <v>100000</v>
      </c>
      <c r="M9" s="215">
        <f t="shared" si="1"/>
        <v>115000</v>
      </c>
      <c r="N9" s="213">
        <f t="shared" si="2"/>
        <v>115000</v>
      </c>
    </row>
    <row r="10" spans="1:14" x14ac:dyDescent="0.25">
      <c r="A10" s="123"/>
      <c r="B10" s="147">
        <v>1</v>
      </c>
      <c r="C10" s="209">
        <v>91000</v>
      </c>
      <c r="D10" s="210">
        <v>36000</v>
      </c>
      <c r="E10" s="117"/>
      <c r="F10" s="117"/>
      <c r="G10" s="117"/>
      <c r="H10" s="117"/>
      <c r="I10" s="118"/>
      <c r="K10" s="176">
        <v>4</v>
      </c>
      <c r="L10" s="215">
        <f t="shared" si="0"/>
        <v>78000</v>
      </c>
      <c r="M10" s="215">
        <f t="shared" si="1"/>
        <v>78000</v>
      </c>
      <c r="N10" s="213">
        <f t="shared" si="2"/>
        <v>78000</v>
      </c>
    </row>
    <row r="11" spans="1:14" x14ac:dyDescent="0.25">
      <c r="A11" s="123"/>
      <c r="B11" s="147">
        <v>2</v>
      </c>
      <c r="C11" s="209">
        <v>196000</v>
      </c>
      <c r="D11" s="210">
        <v>38000</v>
      </c>
      <c r="E11" s="117"/>
      <c r="F11" s="117"/>
      <c r="G11" s="117"/>
      <c r="H11" s="117"/>
      <c r="I11" s="118"/>
      <c r="K11" s="176">
        <v>5</v>
      </c>
      <c r="L11" s="215">
        <f t="shared" si="0"/>
        <v>64000</v>
      </c>
      <c r="M11" s="215">
        <f t="shared" si="1"/>
        <v>94000</v>
      </c>
      <c r="N11" s="213">
        <f t="shared" si="2"/>
        <v>94000</v>
      </c>
    </row>
    <row r="12" spans="1:14" x14ac:dyDescent="0.25">
      <c r="A12" s="123"/>
      <c r="B12" s="147">
        <v>3</v>
      </c>
      <c r="C12" s="209">
        <v>199000</v>
      </c>
      <c r="D12" s="210">
        <v>15000</v>
      </c>
      <c r="E12" s="117"/>
      <c r="F12" s="117"/>
      <c r="G12" s="117"/>
      <c r="H12" s="117"/>
      <c r="I12" s="118"/>
      <c r="K12" s="179">
        <v>6</v>
      </c>
      <c r="L12" s="216">
        <f t="shared" si="0"/>
        <v>97000</v>
      </c>
      <c r="M12" s="216">
        <f t="shared" si="1"/>
        <v>112000</v>
      </c>
      <c r="N12" s="214">
        <f t="shared" si="2"/>
        <v>112000</v>
      </c>
    </row>
    <row r="13" spans="1:14" x14ac:dyDescent="0.25">
      <c r="A13" s="123"/>
      <c r="B13" s="147">
        <v>4</v>
      </c>
      <c r="C13" s="209">
        <v>78000</v>
      </c>
      <c r="D13" s="210">
        <v>0</v>
      </c>
      <c r="E13" s="117"/>
      <c r="F13" s="117"/>
      <c r="G13" s="117"/>
      <c r="H13" s="117"/>
      <c r="I13" s="118"/>
    </row>
    <row r="14" spans="1:14" x14ac:dyDescent="0.25">
      <c r="A14" s="123"/>
      <c r="B14" s="147">
        <v>5</v>
      </c>
      <c r="C14" s="209">
        <v>64000</v>
      </c>
      <c r="D14" s="210">
        <v>30000</v>
      </c>
      <c r="E14" s="117"/>
      <c r="F14" s="117"/>
      <c r="G14" s="117"/>
      <c r="H14" s="117"/>
      <c r="I14" s="118"/>
      <c r="M14" t="s">
        <v>10</v>
      </c>
      <c r="N14" s="217">
        <f>SUM(N7:N12)</f>
        <v>649000</v>
      </c>
    </row>
    <row r="15" spans="1:14" x14ac:dyDescent="0.25">
      <c r="A15" s="123"/>
      <c r="B15" s="132">
        <v>6</v>
      </c>
      <c r="C15" s="211">
        <v>97000</v>
      </c>
      <c r="D15" s="212">
        <v>15000</v>
      </c>
      <c r="E15" s="117"/>
      <c r="F15" s="117"/>
      <c r="G15" s="117"/>
      <c r="H15" s="117"/>
      <c r="I15" s="118"/>
    </row>
    <row r="16" spans="1:14" x14ac:dyDescent="0.25">
      <c r="A16" s="123"/>
      <c r="B16" s="117"/>
      <c r="C16" s="117"/>
      <c r="D16" s="117"/>
      <c r="E16" s="117"/>
      <c r="F16" s="117"/>
      <c r="G16" s="117"/>
      <c r="H16" s="117"/>
      <c r="I16" s="118"/>
    </row>
    <row r="17" spans="1:9" x14ac:dyDescent="0.25">
      <c r="A17" s="123"/>
      <c r="B17" s="117" t="s">
        <v>206</v>
      </c>
      <c r="C17" s="117"/>
      <c r="D17" s="117"/>
      <c r="E17" s="117"/>
      <c r="F17" s="117"/>
      <c r="G17" s="117"/>
      <c r="H17" s="117"/>
      <c r="I17" s="118"/>
    </row>
    <row r="18" spans="1:9" x14ac:dyDescent="0.25">
      <c r="A18" s="123"/>
      <c r="B18" s="208">
        <v>100000</v>
      </c>
      <c r="C18" s="117" t="s">
        <v>205</v>
      </c>
      <c r="D18" s="117"/>
      <c r="E18" s="117"/>
      <c r="F18" s="117"/>
      <c r="G18" s="117"/>
      <c r="H18" s="117"/>
      <c r="I18" s="118"/>
    </row>
    <row r="19" spans="1:9" x14ac:dyDescent="0.25">
      <c r="A19" s="123"/>
      <c r="B19" s="208">
        <v>125000</v>
      </c>
      <c r="C19" s="117" t="s">
        <v>207</v>
      </c>
      <c r="D19" s="117"/>
      <c r="E19" s="117"/>
      <c r="F19" s="117"/>
      <c r="G19" s="117"/>
      <c r="H19" s="117"/>
      <c r="I19" s="118"/>
    </row>
    <row r="20" spans="1:9" x14ac:dyDescent="0.25">
      <c r="A20" s="123"/>
      <c r="B20" s="117"/>
      <c r="C20" s="117"/>
      <c r="D20" s="117"/>
      <c r="E20" s="117"/>
      <c r="F20" s="117"/>
      <c r="G20" s="117"/>
      <c r="H20" s="117"/>
      <c r="I20" s="118"/>
    </row>
    <row r="21" spans="1:9" x14ac:dyDescent="0.25">
      <c r="A21" s="116" t="s">
        <v>7</v>
      </c>
      <c r="B21" s="117" t="s">
        <v>201</v>
      </c>
      <c r="C21" s="117"/>
      <c r="D21" s="117"/>
      <c r="E21" s="117"/>
      <c r="F21" s="117"/>
      <c r="G21" s="117"/>
      <c r="H21" s="117"/>
      <c r="I21" s="118"/>
    </row>
    <row r="22" spans="1:9" ht="15.75" thickBot="1" x14ac:dyDescent="0.3">
      <c r="A22" s="165"/>
      <c r="B22" s="166" t="s">
        <v>202</v>
      </c>
      <c r="C22" s="166"/>
      <c r="D22" s="166"/>
      <c r="E22" s="166"/>
      <c r="F22" s="166"/>
      <c r="G22" s="166"/>
      <c r="H22" s="166"/>
      <c r="I22" s="167"/>
    </row>
  </sheetData>
  <mergeCells count="1">
    <mergeCell ref="H1:I1"/>
  </mergeCells>
  <hyperlinks>
    <hyperlink ref="H1" location="TOC!A1" display="Return to TOC" xr:uid="{9BAFC777-136C-453F-AFAE-05A28118EA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5AC5-9CB9-437E-AD1E-CA1502213486}">
  <sheetPr codeName="Sheet5"/>
  <dimension ref="A1:P23"/>
  <sheetViews>
    <sheetView workbookViewId="0"/>
  </sheetViews>
  <sheetFormatPr defaultRowHeight="15" x14ac:dyDescent="0.25"/>
  <cols>
    <col min="1" max="1" width="13.5703125" bestFit="1" customWidth="1"/>
    <col min="10" max="10" width="2.7109375" customWidth="1"/>
  </cols>
  <sheetData>
    <row r="1" spans="1:16" x14ac:dyDescent="0.25">
      <c r="A1" s="168" t="s">
        <v>3</v>
      </c>
      <c r="B1" s="169" t="s">
        <v>12</v>
      </c>
      <c r="C1" s="117"/>
      <c r="D1" s="170"/>
      <c r="E1" s="169"/>
      <c r="F1" s="169"/>
      <c r="G1" s="169"/>
      <c r="H1" s="301" t="s">
        <v>8</v>
      </c>
      <c r="I1" s="302"/>
      <c r="K1" s="6" t="s">
        <v>9</v>
      </c>
    </row>
    <row r="2" spans="1:16" x14ac:dyDescent="0.25">
      <c r="A2" s="116" t="s">
        <v>4</v>
      </c>
      <c r="B2" s="117" t="s">
        <v>216</v>
      </c>
      <c r="C2" s="117"/>
      <c r="D2" s="117"/>
      <c r="E2" s="117"/>
      <c r="F2" s="117"/>
      <c r="G2" s="117"/>
      <c r="H2" s="117"/>
      <c r="I2" s="118"/>
      <c r="K2" t="s">
        <v>227</v>
      </c>
    </row>
    <row r="3" spans="1:16" x14ac:dyDescent="0.25">
      <c r="A3" s="116" t="s">
        <v>5</v>
      </c>
      <c r="B3" s="117" t="s">
        <v>193</v>
      </c>
      <c r="C3" s="117"/>
      <c r="D3" s="117"/>
      <c r="E3" s="117"/>
      <c r="F3" s="117"/>
      <c r="G3" s="117"/>
      <c r="H3" s="117"/>
      <c r="I3" s="118"/>
    </row>
    <row r="4" spans="1:16" x14ac:dyDescent="0.25">
      <c r="A4" s="119"/>
      <c r="B4" s="120"/>
      <c r="C4" s="120"/>
      <c r="D4" s="120"/>
      <c r="E4" s="120"/>
      <c r="F4" s="120"/>
      <c r="G4" s="120"/>
      <c r="H4" s="120"/>
      <c r="I4" s="121"/>
      <c r="K4" t="s">
        <v>228</v>
      </c>
    </row>
    <row r="5" spans="1:16" x14ac:dyDescent="0.25">
      <c r="A5" s="122" t="s">
        <v>6</v>
      </c>
      <c r="B5" s="117" t="s">
        <v>217</v>
      </c>
      <c r="C5" s="117"/>
      <c r="D5" s="117"/>
      <c r="E5" s="117"/>
      <c r="F5" s="117"/>
      <c r="G5" s="117"/>
      <c r="H5" s="117"/>
      <c r="I5" s="118"/>
    </row>
    <row r="6" spans="1:16" x14ac:dyDescent="0.25">
      <c r="A6" s="123"/>
      <c r="B6" s="117" t="s">
        <v>218</v>
      </c>
      <c r="C6" s="117"/>
      <c r="D6" s="117"/>
      <c r="E6" s="117"/>
      <c r="F6" s="117"/>
      <c r="G6" s="117"/>
      <c r="H6" s="117"/>
      <c r="I6" s="118"/>
      <c r="K6" t="s">
        <v>229</v>
      </c>
      <c r="P6" s="172">
        <f>B9*1*1*1</f>
        <v>100000</v>
      </c>
    </row>
    <row r="7" spans="1:16" x14ac:dyDescent="0.25">
      <c r="A7" s="123"/>
      <c r="B7" s="117"/>
      <c r="C7" s="117"/>
      <c r="D7" s="117"/>
      <c r="E7" s="117"/>
      <c r="F7" s="117"/>
      <c r="G7" s="117"/>
      <c r="H7" s="117"/>
      <c r="I7" s="118"/>
    </row>
    <row r="8" spans="1:16" x14ac:dyDescent="0.25">
      <c r="A8" s="123"/>
      <c r="B8" s="208">
        <v>70000</v>
      </c>
      <c r="C8" s="117" t="s">
        <v>233</v>
      </c>
      <c r="D8" s="117"/>
      <c r="E8" s="117"/>
      <c r="F8" s="117"/>
      <c r="G8" s="117"/>
      <c r="H8" s="117"/>
      <c r="I8" s="118"/>
      <c r="K8" t="s">
        <v>230</v>
      </c>
      <c r="L8">
        <f>B11</f>
        <v>0.90900000000000003</v>
      </c>
    </row>
    <row r="9" spans="1:16" x14ac:dyDescent="0.25">
      <c r="A9" s="123"/>
      <c r="B9" s="208">
        <v>100000</v>
      </c>
      <c r="C9" s="117" t="s">
        <v>219</v>
      </c>
      <c r="D9" s="117"/>
      <c r="E9" s="117"/>
      <c r="F9" s="117"/>
      <c r="G9" s="117"/>
      <c r="H9" s="117"/>
      <c r="I9" s="118"/>
      <c r="K9" t="s">
        <v>179</v>
      </c>
      <c r="M9">
        <f>B13</f>
        <v>0.53</v>
      </c>
    </row>
    <row r="10" spans="1:16" x14ac:dyDescent="0.25">
      <c r="A10" s="123"/>
      <c r="B10" s="117">
        <v>0.88300000000000001</v>
      </c>
      <c r="C10" s="117" t="s">
        <v>237</v>
      </c>
      <c r="D10" s="117"/>
      <c r="E10" s="117"/>
      <c r="F10" s="117"/>
      <c r="G10" s="117"/>
      <c r="H10" s="117"/>
      <c r="I10" s="118"/>
    </row>
    <row r="11" spans="1:16" x14ac:dyDescent="0.25">
      <c r="A11" s="123"/>
      <c r="B11" s="117">
        <v>0.90900000000000003</v>
      </c>
      <c r="C11" s="117" t="s">
        <v>220</v>
      </c>
      <c r="D11" s="117"/>
      <c r="E11" s="117"/>
      <c r="F11" s="117"/>
      <c r="G11" s="117"/>
      <c r="H11" s="117"/>
      <c r="I11" s="118"/>
      <c r="K11" t="s">
        <v>231</v>
      </c>
    </row>
    <row r="12" spans="1:16" x14ac:dyDescent="0.25">
      <c r="A12" s="123"/>
      <c r="B12" s="117">
        <v>0.46</v>
      </c>
      <c r="C12" s="117" t="s">
        <v>238</v>
      </c>
      <c r="D12" s="117"/>
      <c r="E12" s="117"/>
      <c r="F12" s="117"/>
      <c r="G12" s="117"/>
      <c r="H12" s="117"/>
      <c r="I12" s="118"/>
    </row>
    <row r="13" spans="1:16" x14ac:dyDescent="0.25">
      <c r="A13" s="123"/>
      <c r="B13" s="117">
        <v>0.53</v>
      </c>
      <c r="C13" s="117" t="s">
        <v>221</v>
      </c>
      <c r="D13" s="117"/>
      <c r="E13" s="117"/>
      <c r="F13" s="117"/>
      <c r="G13" s="117"/>
      <c r="H13" s="117"/>
      <c r="I13" s="118"/>
      <c r="K13" t="s">
        <v>234</v>
      </c>
      <c r="L13">
        <f>(B8+B15)/P6</f>
        <v>0.85</v>
      </c>
    </row>
    <row r="14" spans="1:16" x14ac:dyDescent="0.25">
      <c r="A14" s="123"/>
      <c r="B14" s="117"/>
      <c r="C14" s="117"/>
      <c r="D14" s="117"/>
      <c r="E14" s="117"/>
      <c r="F14" s="117"/>
      <c r="G14" s="117"/>
      <c r="H14" s="117"/>
      <c r="I14" s="118"/>
    </row>
    <row r="15" spans="1:16" x14ac:dyDescent="0.25">
      <c r="A15" s="123"/>
      <c r="B15" s="208">
        <v>15000</v>
      </c>
      <c r="C15" s="117" t="s">
        <v>232</v>
      </c>
      <c r="D15" s="117"/>
      <c r="E15" s="117"/>
      <c r="F15" s="117"/>
      <c r="G15" s="117"/>
      <c r="H15" s="117"/>
      <c r="I15" s="118"/>
      <c r="K15" t="s">
        <v>235</v>
      </c>
    </row>
    <row r="16" spans="1:16" x14ac:dyDescent="0.25">
      <c r="A16" s="123"/>
      <c r="B16" s="117"/>
      <c r="C16" s="117"/>
      <c r="D16" s="117"/>
      <c r="E16" s="117"/>
      <c r="F16" s="117"/>
      <c r="G16" s="117"/>
      <c r="H16" s="117"/>
      <c r="I16" s="118"/>
    </row>
    <row r="17" spans="1:15" x14ac:dyDescent="0.25">
      <c r="A17" s="123"/>
      <c r="B17" s="117" t="s">
        <v>222</v>
      </c>
      <c r="C17" s="117"/>
      <c r="D17" s="117"/>
      <c r="E17" s="117"/>
      <c r="F17" s="117"/>
      <c r="G17" s="117"/>
      <c r="H17" s="117"/>
      <c r="I17" s="118"/>
      <c r="K17" t="s">
        <v>236</v>
      </c>
      <c r="N17">
        <f>(L13-L8)/L8*M9</f>
        <v>-3.4400440044004436E-2</v>
      </c>
    </row>
    <row r="18" spans="1:15" x14ac:dyDescent="0.25">
      <c r="A18" s="123"/>
      <c r="B18" s="117" t="s">
        <v>223</v>
      </c>
      <c r="C18" s="117"/>
      <c r="D18" s="117"/>
      <c r="E18" s="117"/>
      <c r="F18" s="117"/>
      <c r="G18" s="117"/>
      <c r="H18" s="117"/>
      <c r="I18" s="118"/>
    </row>
    <row r="19" spans="1:15" x14ac:dyDescent="0.25">
      <c r="A19" s="123"/>
      <c r="B19" s="117"/>
      <c r="C19" s="117"/>
      <c r="D19" s="117"/>
      <c r="E19" s="117"/>
      <c r="F19" s="117"/>
      <c r="G19" s="117"/>
      <c r="H19" s="117"/>
      <c r="I19" s="118"/>
      <c r="K19" t="s">
        <v>239</v>
      </c>
      <c r="O19" s="205">
        <f>1+N17</f>
        <v>0.96559955995599556</v>
      </c>
    </row>
    <row r="20" spans="1:15" x14ac:dyDescent="0.25">
      <c r="A20" s="123"/>
      <c r="B20" s="117" t="s">
        <v>224</v>
      </c>
      <c r="C20" s="117"/>
      <c r="D20" s="117"/>
      <c r="E20" s="117"/>
      <c r="F20" s="117"/>
      <c r="G20" s="117"/>
      <c r="H20" s="117"/>
      <c r="I20" s="118"/>
    </row>
    <row r="21" spans="1:15" x14ac:dyDescent="0.25">
      <c r="A21" s="123"/>
      <c r="B21" s="117"/>
      <c r="C21" s="117"/>
      <c r="D21" s="117"/>
      <c r="E21" s="117"/>
      <c r="F21" s="117"/>
      <c r="G21" s="117"/>
      <c r="H21" s="117"/>
      <c r="I21" s="118"/>
    </row>
    <row r="22" spans="1:15" x14ac:dyDescent="0.25">
      <c r="A22" s="116" t="s">
        <v>7</v>
      </c>
      <c r="B22" s="117" t="s">
        <v>193</v>
      </c>
      <c r="C22" s="117"/>
      <c r="D22" s="117"/>
      <c r="E22" s="117"/>
      <c r="F22" s="117"/>
      <c r="G22" s="117"/>
      <c r="H22" s="117"/>
      <c r="I22" s="118"/>
    </row>
    <row r="23" spans="1:15" ht="15.75" thickBot="1" x14ac:dyDescent="0.3">
      <c r="A23" s="165"/>
      <c r="B23" s="166"/>
      <c r="C23" s="166"/>
      <c r="D23" s="166"/>
      <c r="E23" s="166"/>
      <c r="F23" s="166"/>
      <c r="G23" s="166"/>
      <c r="H23" s="166"/>
      <c r="I23" s="167"/>
    </row>
  </sheetData>
  <mergeCells count="1">
    <mergeCell ref="H1:I1"/>
  </mergeCells>
  <hyperlinks>
    <hyperlink ref="H1" location="TOC!A1" display="Return to TOC" xr:uid="{3935DD70-F245-4630-A28C-BA8F28038A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F9AC-26C6-4670-82CD-AAB69A3170DF}">
  <sheetPr codeName="Sheet6"/>
  <dimension ref="A1:R34"/>
  <sheetViews>
    <sheetView workbookViewId="0"/>
  </sheetViews>
  <sheetFormatPr defaultRowHeight="15" x14ac:dyDescent="0.25"/>
  <cols>
    <col min="1" max="1" width="13.5703125" bestFit="1" customWidth="1"/>
    <col min="2" max="3" width="11.5703125" bestFit="1" customWidth="1"/>
    <col min="5" max="5" width="7.28515625" bestFit="1" customWidth="1"/>
    <col min="6" max="6" width="18.7109375" bestFit="1" customWidth="1"/>
    <col min="8" max="8" width="3.7109375" customWidth="1"/>
    <col min="10" max="10" width="2.7109375" customWidth="1"/>
    <col min="11" max="11" width="11" customWidth="1"/>
    <col min="12" max="12" width="9.85546875" bestFit="1" customWidth="1"/>
    <col min="13" max="13" width="11.5703125" bestFit="1" customWidth="1"/>
  </cols>
  <sheetData>
    <row r="1" spans="1:18" x14ac:dyDescent="0.25">
      <c r="A1" s="168" t="s">
        <v>3</v>
      </c>
      <c r="B1" s="169" t="s">
        <v>12</v>
      </c>
      <c r="C1" s="117"/>
      <c r="D1" s="170"/>
      <c r="E1" s="169"/>
      <c r="F1" s="169"/>
      <c r="G1" s="169"/>
      <c r="H1" s="301" t="s">
        <v>8</v>
      </c>
      <c r="I1" s="302"/>
      <c r="K1" s="6" t="s">
        <v>9</v>
      </c>
    </row>
    <row r="2" spans="1:18" x14ac:dyDescent="0.25">
      <c r="A2" s="116" t="s">
        <v>4</v>
      </c>
      <c r="B2" s="117" t="s">
        <v>240</v>
      </c>
      <c r="C2" s="117"/>
      <c r="D2" s="117"/>
      <c r="E2" s="117"/>
      <c r="F2" s="117"/>
      <c r="G2" s="117"/>
      <c r="H2" s="117"/>
      <c r="I2" s="118"/>
      <c r="K2" t="s">
        <v>257</v>
      </c>
    </row>
    <row r="3" spans="1:18" x14ac:dyDescent="0.25">
      <c r="A3" s="116" t="s">
        <v>5</v>
      </c>
      <c r="B3" s="117" t="s">
        <v>212</v>
      </c>
      <c r="C3" s="117"/>
      <c r="D3" s="117"/>
      <c r="E3" s="117"/>
      <c r="F3" s="117"/>
      <c r="G3" s="117"/>
      <c r="H3" s="117"/>
      <c r="I3" s="118"/>
      <c r="K3" t="s">
        <v>258</v>
      </c>
    </row>
    <row r="4" spans="1:18" x14ac:dyDescent="0.25">
      <c r="A4" s="119"/>
      <c r="B4" s="120"/>
      <c r="C4" s="120"/>
      <c r="D4" s="120"/>
      <c r="E4" s="120"/>
      <c r="F4" s="120"/>
      <c r="G4" s="120"/>
      <c r="H4" s="120"/>
      <c r="I4" s="121"/>
    </row>
    <row r="5" spans="1:18" x14ac:dyDescent="0.25">
      <c r="A5" s="122" t="s">
        <v>6</v>
      </c>
      <c r="B5" s="117" t="s">
        <v>242</v>
      </c>
      <c r="C5" s="117"/>
      <c r="D5" s="117"/>
      <c r="E5" s="117"/>
      <c r="F5" s="117"/>
      <c r="G5" s="117"/>
      <c r="H5" s="117"/>
      <c r="I5" s="118"/>
      <c r="K5" t="s">
        <v>261</v>
      </c>
    </row>
    <row r="6" spans="1:18" x14ac:dyDescent="0.25">
      <c r="A6" s="123"/>
      <c r="B6" s="117"/>
      <c r="C6" s="117"/>
      <c r="D6" s="117"/>
      <c r="E6" s="117"/>
      <c r="F6" s="117"/>
      <c r="G6" s="117"/>
      <c r="H6" s="117"/>
      <c r="I6" s="118"/>
      <c r="K6" t="s">
        <v>265</v>
      </c>
    </row>
    <row r="7" spans="1:18" x14ac:dyDescent="0.25">
      <c r="A7" s="123"/>
      <c r="B7" s="117" t="s">
        <v>243</v>
      </c>
      <c r="C7" s="117"/>
      <c r="D7" s="117"/>
      <c r="E7" s="117"/>
      <c r="F7" s="117"/>
      <c r="G7" s="117"/>
      <c r="H7" s="117"/>
      <c r="I7" s="118"/>
    </row>
    <row r="8" spans="1:18" x14ac:dyDescent="0.25">
      <c r="A8" s="123"/>
      <c r="B8" s="117" t="s">
        <v>244</v>
      </c>
      <c r="C8" s="117"/>
      <c r="D8" s="117"/>
      <c r="E8" s="117"/>
      <c r="F8" s="117"/>
      <c r="G8" s="117"/>
      <c r="H8" s="117"/>
      <c r="I8" s="118"/>
      <c r="K8" s="195"/>
      <c r="L8" s="207" t="s">
        <v>260</v>
      </c>
      <c r="M8" s="174" t="s">
        <v>259</v>
      </c>
      <c r="N8" s="207"/>
      <c r="O8" s="174"/>
      <c r="P8" s="207"/>
      <c r="Q8" s="207"/>
      <c r="R8" s="175"/>
    </row>
    <row r="9" spans="1:18" x14ac:dyDescent="0.25">
      <c r="A9" s="123"/>
      <c r="B9" s="117"/>
      <c r="C9" s="117"/>
      <c r="D9" s="117"/>
      <c r="E9" s="117"/>
      <c r="F9" s="117"/>
      <c r="G9" s="117"/>
      <c r="H9" s="117"/>
      <c r="I9" s="118"/>
      <c r="K9" s="179" t="s">
        <v>171</v>
      </c>
      <c r="L9" s="188" t="s">
        <v>67</v>
      </c>
      <c r="M9" s="181" t="s">
        <v>260</v>
      </c>
      <c r="N9" s="188" t="s">
        <v>56</v>
      </c>
      <c r="O9" s="181" t="s">
        <v>57</v>
      </c>
      <c r="P9" s="188" t="s">
        <v>58</v>
      </c>
      <c r="Q9" s="188" t="s">
        <v>59</v>
      </c>
      <c r="R9" s="183" t="s">
        <v>10</v>
      </c>
    </row>
    <row r="10" spans="1:18" x14ac:dyDescent="0.25">
      <c r="A10" s="123"/>
      <c r="B10" s="117" t="s">
        <v>245</v>
      </c>
      <c r="C10" s="117"/>
      <c r="D10" s="117"/>
      <c r="E10" s="117"/>
      <c r="F10" s="117"/>
      <c r="G10" s="117"/>
      <c r="H10" s="117"/>
      <c r="I10" s="118"/>
      <c r="K10" s="176" t="s">
        <v>254</v>
      </c>
      <c r="L10" s="187">
        <f>$B$13/$B$12</f>
        <v>1.25E-3</v>
      </c>
      <c r="M10" s="177">
        <f>C22</f>
        <v>56000000</v>
      </c>
      <c r="N10" s="215">
        <f>L10*M10*$B$15</f>
        <v>45500</v>
      </c>
      <c r="O10" s="236">
        <v>1</v>
      </c>
      <c r="P10" s="232">
        <v>1</v>
      </c>
      <c r="Q10" s="187">
        <f>D29</f>
        <v>0.92600000000000005</v>
      </c>
      <c r="R10" s="206">
        <f>PRODUCT(N10:Q10)</f>
        <v>42133</v>
      </c>
    </row>
    <row r="11" spans="1:18" x14ac:dyDescent="0.25">
      <c r="A11" s="123"/>
      <c r="B11" s="117"/>
      <c r="C11" s="117"/>
      <c r="D11" s="117"/>
      <c r="E11" s="117"/>
      <c r="F11" s="117"/>
      <c r="G11" s="117"/>
      <c r="H11" s="117"/>
      <c r="I11" s="118"/>
      <c r="K11" s="176" t="s">
        <v>148</v>
      </c>
      <c r="L11" s="187">
        <f>$B$13/$B$12</f>
        <v>1.25E-3</v>
      </c>
      <c r="M11" s="177">
        <f>C23</f>
        <v>42000000</v>
      </c>
      <c r="N11" s="215">
        <f t="shared" ref="N11:N12" si="0">L11*M11*$B$15</f>
        <v>34125</v>
      </c>
      <c r="O11" s="236">
        <v>1</v>
      </c>
      <c r="P11" s="232">
        <v>1</v>
      </c>
      <c r="Q11" s="187">
        <f>D30</f>
        <v>0.89200000000000002</v>
      </c>
      <c r="R11" s="206">
        <f t="shared" ref="R11:R12" si="1">PRODUCT(N11:Q11)</f>
        <v>30439.5</v>
      </c>
    </row>
    <row r="12" spans="1:18" x14ac:dyDescent="0.25">
      <c r="A12" s="123"/>
      <c r="B12" s="219">
        <v>80000000</v>
      </c>
      <c r="C12" s="220" t="s">
        <v>246</v>
      </c>
      <c r="D12" s="220"/>
      <c r="E12" s="221"/>
      <c r="F12" s="117"/>
      <c r="G12" s="117"/>
      <c r="H12" s="117"/>
      <c r="I12" s="118"/>
      <c r="K12" s="179" t="s">
        <v>149</v>
      </c>
      <c r="L12" s="188">
        <f>$B$13/$B$12</f>
        <v>1.25E-3</v>
      </c>
      <c r="M12" s="180">
        <f>C24</f>
        <v>32000000</v>
      </c>
      <c r="N12" s="216">
        <f t="shared" si="0"/>
        <v>26000</v>
      </c>
      <c r="O12" s="237">
        <v>1</v>
      </c>
      <c r="P12" s="233">
        <v>1</v>
      </c>
      <c r="Q12" s="188">
        <f>D31</f>
        <v>0.85799999999999998</v>
      </c>
      <c r="R12" s="197">
        <f t="shared" si="1"/>
        <v>22308</v>
      </c>
    </row>
    <row r="13" spans="1:18" x14ac:dyDescent="0.25">
      <c r="A13" s="123"/>
      <c r="B13" s="222">
        <v>100000</v>
      </c>
      <c r="C13" s="117" t="s">
        <v>247</v>
      </c>
      <c r="D13" s="117"/>
      <c r="E13" s="139"/>
      <c r="F13" s="117"/>
      <c r="G13" s="117"/>
      <c r="H13" s="117"/>
      <c r="I13" s="118"/>
      <c r="K13" s="4"/>
      <c r="L13" s="4"/>
      <c r="M13" s="4"/>
      <c r="N13" s="4"/>
      <c r="O13" s="4"/>
      <c r="P13" s="4"/>
      <c r="Q13" s="235" t="s">
        <v>176</v>
      </c>
      <c r="R13" s="238">
        <f>SUM(R10:R12)</f>
        <v>94880.5</v>
      </c>
    </row>
    <row r="14" spans="1:18" x14ac:dyDescent="0.25">
      <c r="A14" s="123"/>
      <c r="B14" s="222">
        <v>25000</v>
      </c>
      <c r="C14" s="117" t="s">
        <v>248</v>
      </c>
      <c r="D14" s="117"/>
      <c r="E14" s="139"/>
      <c r="F14" s="117"/>
      <c r="G14" s="117"/>
      <c r="H14" s="117"/>
      <c r="I14" s="118"/>
      <c r="K14" t="s">
        <v>262</v>
      </c>
    </row>
    <row r="15" spans="1:18" x14ac:dyDescent="0.25">
      <c r="A15" s="123"/>
      <c r="B15" s="223">
        <v>0.65</v>
      </c>
      <c r="C15" s="224" t="s">
        <v>145</v>
      </c>
      <c r="D15" s="224"/>
      <c r="E15" s="144"/>
      <c r="F15" s="117"/>
      <c r="G15" s="117"/>
      <c r="H15" s="117"/>
      <c r="I15" s="118"/>
      <c r="K15" t="s">
        <v>264</v>
      </c>
    </row>
    <row r="16" spans="1:18" x14ac:dyDescent="0.25">
      <c r="A16" s="123"/>
      <c r="B16" s="117"/>
      <c r="C16" s="117"/>
      <c r="D16" s="117"/>
      <c r="E16" s="117"/>
      <c r="F16" s="117"/>
      <c r="G16" s="117"/>
      <c r="H16" s="117"/>
      <c r="I16" s="118"/>
    </row>
    <row r="17" spans="1:14" x14ac:dyDescent="0.25">
      <c r="A17" s="123"/>
      <c r="B17" s="117" t="s">
        <v>249</v>
      </c>
      <c r="C17" s="117"/>
      <c r="D17" s="117"/>
      <c r="E17" s="117"/>
      <c r="F17" s="117"/>
      <c r="G17" s="117"/>
      <c r="H17" s="117"/>
      <c r="I17" s="118"/>
      <c r="K17" t="s">
        <v>270</v>
      </c>
    </row>
    <row r="18" spans="1:14" x14ac:dyDescent="0.25">
      <c r="A18" s="123"/>
      <c r="B18" s="117" t="s">
        <v>250</v>
      </c>
      <c r="C18" s="117"/>
      <c r="D18" s="117"/>
      <c r="E18" s="117"/>
      <c r="F18" s="117"/>
      <c r="G18" s="117"/>
      <c r="H18" s="117"/>
      <c r="I18" s="118"/>
      <c r="K18" t="s">
        <v>178</v>
      </c>
      <c r="L18" s="193">
        <f>G30</f>
        <v>94150</v>
      </c>
    </row>
    <row r="19" spans="1:14" x14ac:dyDescent="0.25">
      <c r="A19" s="123"/>
      <c r="B19" s="117" t="s">
        <v>251</v>
      </c>
      <c r="C19" s="117"/>
      <c r="D19" s="117"/>
      <c r="E19" s="117"/>
      <c r="F19" s="117"/>
      <c r="G19" s="117"/>
      <c r="H19" s="117"/>
      <c r="I19" s="118"/>
    </row>
    <row r="20" spans="1:14" x14ac:dyDescent="0.25">
      <c r="A20" s="123"/>
      <c r="B20" s="117"/>
      <c r="C20" s="117"/>
      <c r="D20" s="117"/>
      <c r="E20" s="230" t="s">
        <v>255</v>
      </c>
      <c r="F20" s="160"/>
      <c r="G20" s="160"/>
      <c r="H20" s="117"/>
      <c r="I20" s="118"/>
      <c r="K20" t="s">
        <v>271</v>
      </c>
    </row>
    <row r="21" spans="1:14" x14ac:dyDescent="0.25">
      <c r="A21" s="123"/>
      <c r="B21" s="225" t="s">
        <v>252</v>
      </c>
      <c r="C21" s="151" t="s">
        <v>253</v>
      </c>
      <c r="D21" s="117"/>
      <c r="E21" s="225" t="s">
        <v>203</v>
      </c>
      <c r="F21" s="151" t="s">
        <v>101</v>
      </c>
      <c r="G21" s="153" t="s">
        <v>102</v>
      </c>
      <c r="H21" s="117"/>
      <c r="I21" s="118"/>
      <c r="K21" t="s">
        <v>272</v>
      </c>
    </row>
    <row r="22" spans="1:14" x14ac:dyDescent="0.25">
      <c r="A22" s="123"/>
      <c r="B22" s="147" t="s">
        <v>254</v>
      </c>
      <c r="C22" s="226">
        <v>56000000</v>
      </c>
      <c r="D22" s="117"/>
      <c r="E22" s="147">
        <v>1</v>
      </c>
      <c r="F22" s="226">
        <v>1000</v>
      </c>
      <c r="G22" s="228">
        <v>0</v>
      </c>
      <c r="H22" s="117"/>
      <c r="I22" s="118"/>
    </row>
    <row r="23" spans="1:14" x14ac:dyDescent="0.25">
      <c r="A23" s="123"/>
      <c r="B23" s="147" t="s">
        <v>148</v>
      </c>
      <c r="C23" s="226">
        <v>42000000</v>
      </c>
      <c r="D23" s="117"/>
      <c r="E23" s="147">
        <v>2</v>
      </c>
      <c r="F23" s="226">
        <v>35000</v>
      </c>
      <c r="G23" s="228">
        <v>70000</v>
      </c>
      <c r="H23" s="117"/>
      <c r="I23" s="118"/>
      <c r="L23" t="s">
        <v>209</v>
      </c>
      <c r="M23" t="s">
        <v>210</v>
      </c>
      <c r="N23" t="s">
        <v>273</v>
      </c>
    </row>
    <row r="24" spans="1:14" x14ac:dyDescent="0.25">
      <c r="A24" s="123"/>
      <c r="B24" s="132" t="s">
        <v>149</v>
      </c>
      <c r="C24" s="227">
        <v>32000000</v>
      </c>
      <c r="D24" s="117"/>
      <c r="E24" s="147">
        <v>3</v>
      </c>
      <c r="F24" s="226">
        <v>0</v>
      </c>
      <c r="G24" s="228">
        <v>64000</v>
      </c>
      <c r="H24" s="117"/>
      <c r="I24" s="118"/>
      <c r="K24" t="s">
        <v>203</v>
      </c>
      <c r="L24" t="s">
        <v>101</v>
      </c>
      <c r="M24" t="s">
        <v>102</v>
      </c>
      <c r="N24" t="s">
        <v>100</v>
      </c>
    </row>
    <row r="25" spans="1:14" x14ac:dyDescent="0.25">
      <c r="A25" s="123"/>
      <c r="B25" s="117"/>
      <c r="C25" s="117"/>
      <c r="D25" s="117"/>
      <c r="E25" s="132">
        <v>4</v>
      </c>
      <c r="F25" s="227">
        <v>30000</v>
      </c>
      <c r="G25" s="229">
        <v>5000</v>
      </c>
      <c r="H25" s="117"/>
      <c r="I25" s="118"/>
      <c r="K25">
        <v>1</v>
      </c>
      <c r="L25" s="172">
        <f>MIN($B$14,F22)</f>
        <v>1000</v>
      </c>
      <c r="M25" s="172">
        <f>L25+G22</f>
        <v>1000</v>
      </c>
      <c r="N25" s="172">
        <f>MIN(M25,$L$18)</f>
        <v>1000</v>
      </c>
    </row>
    <row r="26" spans="1:14" x14ac:dyDescent="0.25">
      <c r="A26" s="123"/>
      <c r="B26" s="117"/>
      <c r="C26" s="117"/>
      <c r="D26" s="117"/>
      <c r="E26" s="117"/>
      <c r="F26" s="117"/>
      <c r="G26" s="117"/>
      <c r="H26" s="117"/>
      <c r="I26" s="118"/>
      <c r="K26">
        <v>2</v>
      </c>
      <c r="L26" s="172">
        <f t="shared" ref="L26:L28" si="2">MIN($B$14,F23)</f>
        <v>25000</v>
      </c>
      <c r="M26" s="172">
        <f t="shared" ref="M26:M28" si="3">L26+G23</f>
        <v>95000</v>
      </c>
      <c r="N26" s="172">
        <f t="shared" ref="N26:N28" si="4">MIN(M26,$L$18)</f>
        <v>94150</v>
      </c>
    </row>
    <row r="27" spans="1:14" x14ac:dyDescent="0.25">
      <c r="A27" s="123"/>
      <c r="B27" s="164" t="s">
        <v>263</v>
      </c>
      <c r="C27" s="117"/>
      <c r="D27" s="117"/>
      <c r="E27" s="117"/>
      <c r="F27" s="117"/>
      <c r="G27" s="117"/>
      <c r="H27" s="117"/>
      <c r="I27" s="118"/>
      <c r="K27">
        <v>3</v>
      </c>
      <c r="L27" s="172">
        <f t="shared" si="2"/>
        <v>0</v>
      </c>
      <c r="M27" s="172">
        <f t="shared" si="3"/>
        <v>64000</v>
      </c>
      <c r="N27" s="172">
        <f t="shared" si="4"/>
        <v>64000</v>
      </c>
    </row>
    <row r="28" spans="1:14" x14ac:dyDescent="0.25">
      <c r="A28" s="123"/>
      <c r="B28" s="225" t="s">
        <v>252</v>
      </c>
      <c r="C28" s="151" t="s">
        <v>34</v>
      </c>
      <c r="D28" s="153" t="s">
        <v>35</v>
      </c>
      <c r="E28" s="117"/>
      <c r="F28" s="151" t="s">
        <v>266</v>
      </c>
      <c r="G28" s="153" t="s">
        <v>100</v>
      </c>
      <c r="H28" s="117"/>
      <c r="I28" s="118"/>
      <c r="K28">
        <v>4</v>
      </c>
      <c r="L28" s="172">
        <f t="shared" si="2"/>
        <v>25000</v>
      </c>
      <c r="M28" s="172">
        <f t="shared" si="3"/>
        <v>30000</v>
      </c>
      <c r="N28" s="172">
        <f t="shared" si="4"/>
        <v>30000</v>
      </c>
    </row>
    <row r="29" spans="1:14" x14ac:dyDescent="0.25">
      <c r="A29" s="123"/>
      <c r="B29" s="147" t="s">
        <v>254</v>
      </c>
      <c r="C29" s="231">
        <v>0.86499999999999999</v>
      </c>
      <c r="D29" s="148">
        <v>0.92600000000000005</v>
      </c>
      <c r="E29" s="117"/>
      <c r="F29" s="226" t="s">
        <v>267</v>
      </c>
      <c r="G29" s="210">
        <v>93500</v>
      </c>
      <c r="H29" s="117"/>
      <c r="I29" s="118"/>
    </row>
    <row r="30" spans="1:14" x14ac:dyDescent="0.25">
      <c r="A30" s="123"/>
      <c r="B30" s="147" t="s">
        <v>148</v>
      </c>
      <c r="C30" s="231">
        <v>0.83699999999999997</v>
      </c>
      <c r="D30" s="148">
        <v>0.89200000000000002</v>
      </c>
      <c r="E30" s="117"/>
      <c r="F30" s="140" t="s">
        <v>268</v>
      </c>
      <c r="G30" s="210">
        <v>94150</v>
      </c>
      <c r="H30" s="117"/>
      <c r="I30" s="118"/>
      <c r="K30" t="s">
        <v>274</v>
      </c>
      <c r="M30" s="239">
        <f>SUM(N25:N28)</f>
        <v>189150</v>
      </c>
    </row>
    <row r="31" spans="1:14" x14ac:dyDescent="0.25">
      <c r="A31" s="123"/>
      <c r="B31" s="132" t="s">
        <v>149</v>
      </c>
      <c r="C31" s="234">
        <v>0.83799999999999997</v>
      </c>
      <c r="D31" s="146">
        <v>0.85799999999999998</v>
      </c>
      <c r="E31" s="117"/>
      <c r="F31" s="141" t="s">
        <v>269</v>
      </c>
      <c r="G31" s="212">
        <v>95350</v>
      </c>
      <c r="H31" s="117"/>
      <c r="I31" s="118"/>
    </row>
    <row r="32" spans="1:14" x14ac:dyDescent="0.25">
      <c r="A32" s="123"/>
      <c r="B32" s="117"/>
      <c r="C32" s="117"/>
      <c r="D32" s="117"/>
      <c r="E32" s="117"/>
      <c r="F32" s="117"/>
      <c r="G32" s="117"/>
      <c r="H32" s="117"/>
      <c r="I32" s="118"/>
    </row>
    <row r="33" spans="1:9" x14ac:dyDescent="0.25">
      <c r="A33" s="116" t="s">
        <v>7</v>
      </c>
      <c r="B33" s="117" t="s">
        <v>256</v>
      </c>
      <c r="C33" s="117"/>
      <c r="D33" s="117"/>
      <c r="E33" s="117"/>
      <c r="F33" s="117"/>
      <c r="G33" s="117"/>
      <c r="H33" s="117"/>
      <c r="I33" s="118"/>
    </row>
    <row r="34" spans="1:9" ht="15.75" thickBot="1" x14ac:dyDescent="0.3">
      <c r="A34" s="165"/>
      <c r="B34" s="166"/>
      <c r="C34" s="166"/>
      <c r="D34" s="166"/>
      <c r="E34" s="166"/>
      <c r="F34" s="166"/>
      <c r="G34" s="166"/>
      <c r="H34" s="166"/>
      <c r="I34" s="167"/>
    </row>
  </sheetData>
  <mergeCells count="1">
    <mergeCell ref="H1:I1"/>
  </mergeCells>
  <hyperlinks>
    <hyperlink ref="H1" location="TOC!A1" display="Return to TOC" xr:uid="{6E09A407-C3F8-4A46-9CA6-5B11DB248A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E383-AEBA-4151-9AC7-0B4310FC281B}">
  <sheetPr codeName="Sheet7"/>
  <dimension ref="A1:M26"/>
  <sheetViews>
    <sheetView workbookViewId="0"/>
  </sheetViews>
  <sheetFormatPr defaultRowHeight="15" x14ac:dyDescent="0.25"/>
  <cols>
    <col min="1" max="1" width="13.5703125" bestFit="1" customWidth="1"/>
    <col min="2" max="2" width="12.7109375" customWidth="1"/>
    <col min="3" max="3" width="6.28515625" bestFit="1" customWidth="1"/>
    <col min="4" max="4" width="5.7109375" bestFit="1" customWidth="1"/>
    <col min="11" max="11" width="3.7109375" customWidth="1"/>
    <col min="12" max="12" width="2.7109375" customWidth="1"/>
  </cols>
  <sheetData>
    <row r="1" spans="1:13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169"/>
      <c r="I1" s="169"/>
      <c r="J1" s="301" t="s">
        <v>8</v>
      </c>
      <c r="K1" s="302"/>
      <c r="M1" s="6" t="s">
        <v>9</v>
      </c>
    </row>
    <row r="2" spans="1:13" x14ac:dyDescent="0.25">
      <c r="A2" s="116" t="s">
        <v>4</v>
      </c>
      <c r="B2" s="117" t="s">
        <v>281</v>
      </c>
      <c r="C2" s="117"/>
      <c r="D2" s="117"/>
      <c r="E2" s="117"/>
      <c r="F2" s="117"/>
      <c r="G2" s="117"/>
      <c r="H2" s="117"/>
      <c r="I2" s="117"/>
      <c r="J2" s="117"/>
      <c r="K2" s="118"/>
      <c r="M2" t="s">
        <v>300</v>
      </c>
    </row>
    <row r="3" spans="1:13" x14ac:dyDescent="0.25">
      <c r="A3" s="116" t="s">
        <v>5</v>
      </c>
      <c r="B3" s="117" t="s">
        <v>306</v>
      </c>
      <c r="C3" s="117"/>
      <c r="D3" s="117"/>
      <c r="E3" s="117"/>
      <c r="F3" s="117"/>
      <c r="G3" s="117"/>
      <c r="H3" s="117"/>
      <c r="I3" s="117"/>
      <c r="J3" s="117"/>
      <c r="K3" s="118"/>
      <c r="M3" t="s">
        <v>301</v>
      </c>
    </row>
    <row r="4" spans="1:13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M4" t="s">
        <v>302</v>
      </c>
    </row>
    <row r="5" spans="1:13" x14ac:dyDescent="0.25">
      <c r="A5" s="122" t="s">
        <v>6</v>
      </c>
      <c r="B5" s="117" t="s">
        <v>275</v>
      </c>
      <c r="C5" s="117"/>
      <c r="D5" s="117"/>
      <c r="E5" s="117"/>
      <c r="F5" s="117"/>
      <c r="G5" s="117"/>
      <c r="H5" s="117"/>
      <c r="I5" s="117"/>
      <c r="J5" s="117"/>
      <c r="K5" s="118"/>
      <c r="M5" t="s">
        <v>304</v>
      </c>
    </row>
    <row r="6" spans="1:13" x14ac:dyDescent="0.25">
      <c r="A6" s="123"/>
      <c r="B6" s="240" t="s">
        <v>276</v>
      </c>
      <c r="C6" s="117"/>
      <c r="D6" s="117"/>
      <c r="E6" s="117"/>
      <c r="F6" s="117"/>
      <c r="G6" s="117"/>
      <c r="H6" s="117"/>
      <c r="I6" s="117"/>
      <c r="J6" s="117"/>
      <c r="K6" s="118"/>
    </row>
    <row r="7" spans="1:13" x14ac:dyDescent="0.25">
      <c r="A7" s="123"/>
      <c r="B7" s="117" t="s">
        <v>277</v>
      </c>
      <c r="C7" s="117"/>
      <c r="D7" s="117"/>
      <c r="E7" s="117"/>
      <c r="F7" s="117"/>
      <c r="G7" s="117"/>
      <c r="H7" s="117"/>
      <c r="I7" s="117"/>
      <c r="J7" s="117"/>
      <c r="K7" s="118"/>
    </row>
    <row r="8" spans="1:13" x14ac:dyDescent="0.25">
      <c r="A8" s="123"/>
      <c r="B8" s="117" t="s">
        <v>278</v>
      </c>
      <c r="C8" s="117"/>
      <c r="D8" s="117"/>
      <c r="E8" s="117"/>
      <c r="F8" s="117"/>
      <c r="G8" s="117"/>
      <c r="H8" s="117"/>
      <c r="I8" s="117"/>
      <c r="J8" s="117"/>
      <c r="K8" s="118"/>
    </row>
    <row r="9" spans="1:13" x14ac:dyDescent="0.25">
      <c r="A9" s="123"/>
      <c r="B9" s="117"/>
      <c r="C9" s="117"/>
      <c r="D9" s="117"/>
      <c r="E9" s="117"/>
      <c r="F9" s="117"/>
      <c r="G9" s="117"/>
      <c r="H9" s="117"/>
      <c r="I9" s="117"/>
      <c r="J9" s="117"/>
      <c r="K9" s="118"/>
    </row>
    <row r="10" spans="1:13" x14ac:dyDescent="0.25">
      <c r="A10" s="123"/>
      <c r="B10" s="136" t="s">
        <v>279</v>
      </c>
      <c r="C10" s="242"/>
      <c r="D10" s="136"/>
      <c r="E10" s="220"/>
      <c r="F10" s="220"/>
      <c r="G10" s="220"/>
      <c r="H10" s="220"/>
      <c r="I10" s="220"/>
      <c r="J10" s="221"/>
      <c r="K10" s="244"/>
    </row>
    <row r="11" spans="1:13" x14ac:dyDescent="0.25">
      <c r="A11" s="123"/>
      <c r="B11" s="141" t="s">
        <v>280</v>
      </c>
      <c r="C11" s="154" t="s">
        <v>282</v>
      </c>
      <c r="D11" s="141" t="s">
        <v>283</v>
      </c>
      <c r="E11" s="224" t="s">
        <v>284</v>
      </c>
      <c r="F11" s="224"/>
      <c r="G11" s="224"/>
      <c r="H11" s="224"/>
      <c r="I11" s="224"/>
      <c r="J11" s="144"/>
      <c r="K11" s="244"/>
    </row>
    <row r="12" spans="1:13" x14ac:dyDescent="0.25">
      <c r="A12" s="123"/>
      <c r="B12" s="140" t="s">
        <v>285</v>
      </c>
      <c r="C12" s="241">
        <v>0</v>
      </c>
      <c r="D12" s="245">
        <v>0.05</v>
      </c>
      <c r="E12" s="117" t="s">
        <v>291</v>
      </c>
      <c r="F12" s="117"/>
      <c r="G12" s="117"/>
      <c r="H12" s="117"/>
      <c r="I12" s="117"/>
      <c r="J12" s="139"/>
      <c r="K12" s="244"/>
    </row>
    <row r="13" spans="1:13" x14ac:dyDescent="0.25">
      <c r="A13" s="123"/>
      <c r="B13" s="140" t="s">
        <v>286</v>
      </c>
      <c r="C13" s="241">
        <v>0</v>
      </c>
      <c r="D13" s="245">
        <v>0</v>
      </c>
      <c r="E13" s="117"/>
      <c r="F13" s="117"/>
      <c r="G13" s="117"/>
      <c r="H13" s="117"/>
      <c r="I13" s="117"/>
      <c r="J13" s="139"/>
      <c r="K13" s="244"/>
    </row>
    <row r="14" spans="1:13" x14ac:dyDescent="0.25">
      <c r="A14" s="123"/>
      <c r="B14" s="140" t="s">
        <v>287</v>
      </c>
      <c r="C14" s="241">
        <v>0.1</v>
      </c>
      <c r="D14" s="245">
        <v>0</v>
      </c>
      <c r="E14" s="117" t="s">
        <v>292</v>
      </c>
      <c r="F14" s="117"/>
      <c r="G14" s="117"/>
      <c r="H14" s="117"/>
      <c r="I14" s="117"/>
      <c r="J14" s="139"/>
      <c r="K14" s="244"/>
    </row>
    <row r="15" spans="1:13" x14ac:dyDescent="0.25">
      <c r="A15" s="123"/>
      <c r="B15" s="140" t="s">
        <v>288</v>
      </c>
      <c r="C15" s="241">
        <v>0</v>
      </c>
      <c r="D15" s="245">
        <v>0</v>
      </c>
      <c r="E15" s="117"/>
      <c r="F15" s="117"/>
      <c r="G15" s="117"/>
      <c r="H15" s="117"/>
      <c r="I15" s="117"/>
      <c r="J15" s="139"/>
      <c r="K15" s="244"/>
    </row>
    <row r="16" spans="1:13" x14ac:dyDescent="0.25">
      <c r="A16" s="123"/>
      <c r="B16" s="140" t="s">
        <v>289</v>
      </c>
      <c r="C16" s="241">
        <v>0.05</v>
      </c>
      <c r="D16" s="245">
        <v>0</v>
      </c>
      <c r="E16" s="117" t="s">
        <v>303</v>
      </c>
      <c r="F16" s="117"/>
      <c r="G16" s="117"/>
      <c r="H16" s="117"/>
      <c r="I16" s="117"/>
      <c r="J16" s="139"/>
      <c r="K16" s="244"/>
    </row>
    <row r="17" spans="1:11" x14ac:dyDescent="0.25">
      <c r="A17" s="123"/>
      <c r="B17" s="141" t="s">
        <v>290</v>
      </c>
      <c r="C17" s="243">
        <v>0.05</v>
      </c>
      <c r="D17" s="246">
        <v>0</v>
      </c>
      <c r="E17" s="224" t="s">
        <v>293</v>
      </c>
      <c r="F17" s="224"/>
      <c r="G17" s="224"/>
      <c r="H17" s="224"/>
      <c r="I17" s="224"/>
      <c r="J17" s="144"/>
      <c r="K17" s="244"/>
    </row>
    <row r="18" spans="1:11" x14ac:dyDescent="0.25">
      <c r="A18" s="123"/>
      <c r="B18" s="117"/>
      <c r="C18" s="117"/>
      <c r="D18" s="117"/>
      <c r="E18" s="117"/>
      <c r="F18" s="117"/>
      <c r="G18" s="117"/>
      <c r="H18" s="117"/>
      <c r="I18" s="117"/>
      <c r="J18" s="117"/>
      <c r="K18" s="118"/>
    </row>
    <row r="19" spans="1:11" x14ac:dyDescent="0.25">
      <c r="A19" s="123"/>
      <c r="B19" s="117" t="s">
        <v>294</v>
      </c>
      <c r="C19" s="117"/>
      <c r="D19" s="117"/>
      <c r="E19" s="117"/>
      <c r="F19" s="117"/>
      <c r="G19" s="117"/>
      <c r="H19" s="117"/>
      <c r="I19" s="117"/>
      <c r="J19" s="117"/>
      <c r="K19" s="118"/>
    </row>
    <row r="20" spans="1:11" x14ac:dyDescent="0.25">
      <c r="A20" s="123"/>
      <c r="B20" s="117" t="s">
        <v>295</v>
      </c>
      <c r="C20" s="117"/>
      <c r="D20" s="117"/>
      <c r="E20" s="117"/>
      <c r="F20" s="117"/>
      <c r="G20" s="117"/>
      <c r="H20" s="117"/>
      <c r="I20" s="117"/>
      <c r="J20" s="117"/>
      <c r="K20" s="118"/>
    </row>
    <row r="21" spans="1:11" x14ac:dyDescent="0.25">
      <c r="A21" s="123"/>
      <c r="B21" s="117" t="s">
        <v>296</v>
      </c>
      <c r="C21" s="117"/>
      <c r="D21" s="117"/>
      <c r="E21" s="117"/>
      <c r="F21" s="117"/>
      <c r="G21" s="117"/>
      <c r="H21" s="117"/>
      <c r="I21" s="117"/>
      <c r="J21" s="117"/>
      <c r="K21" s="118"/>
    </row>
    <row r="22" spans="1:11" x14ac:dyDescent="0.25">
      <c r="A22" s="123"/>
      <c r="B22" s="117" t="s">
        <v>297</v>
      </c>
      <c r="C22" s="117"/>
      <c r="D22" s="117"/>
      <c r="E22" s="117"/>
      <c r="F22" s="117"/>
      <c r="G22" s="117"/>
      <c r="H22" s="117"/>
      <c r="I22" s="117"/>
      <c r="J22" s="117"/>
      <c r="K22" s="118"/>
    </row>
    <row r="23" spans="1:11" x14ac:dyDescent="0.25">
      <c r="A23" s="123"/>
      <c r="B23" s="117"/>
      <c r="C23" s="117"/>
      <c r="D23" s="117"/>
      <c r="E23" s="117"/>
      <c r="F23" s="117"/>
      <c r="G23" s="117"/>
      <c r="H23" s="117"/>
      <c r="I23" s="117"/>
      <c r="J23" s="117"/>
      <c r="K23" s="118"/>
    </row>
    <row r="24" spans="1:11" x14ac:dyDescent="0.25">
      <c r="A24" s="116" t="s">
        <v>7</v>
      </c>
      <c r="B24" s="117" t="s">
        <v>298</v>
      </c>
      <c r="C24" s="117"/>
      <c r="D24" s="117"/>
      <c r="E24" s="117"/>
      <c r="F24" s="117"/>
      <c r="G24" s="117"/>
      <c r="H24" s="117"/>
      <c r="I24" s="117"/>
      <c r="J24" s="117"/>
      <c r="K24" s="118"/>
    </row>
    <row r="25" spans="1:11" x14ac:dyDescent="0.25">
      <c r="A25" s="123"/>
      <c r="B25" s="117" t="s">
        <v>299</v>
      </c>
      <c r="C25" s="117"/>
      <c r="D25" s="117"/>
      <c r="E25" s="117"/>
      <c r="F25" s="117"/>
      <c r="G25" s="117"/>
      <c r="H25" s="117"/>
      <c r="I25" s="117"/>
      <c r="J25" s="117"/>
      <c r="K25" s="118"/>
    </row>
    <row r="26" spans="1:11" ht="15.75" thickBot="1" x14ac:dyDescent="0.3">
      <c r="A26" s="165"/>
      <c r="B26" s="166"/>
      <c r="C26" s="166"/>
      <c r="D26" s="166"/>
      <c r="E26" s="166"/>
      <c r="F26" s="166"/>
      <c r="G26" s="166"/>
      <c r="H26" s="166"/>
      <c r="I26" s="166"/>
      <c r="J26" s="166"/>
      <c r="K26" s="167"/>
    </row>
  </sheetData>
  <mergeCells count="1">
    <mergeCell ref="J1:K1"/>
  </mergeCells>
  <hyperlinks>
    <hyperlink ref="J1" location="TOC!A1" display="Return to TOC" xr:uid="{EDB38E26-674E-4080-9A2D-528CCC15B52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28B6-9C88-479D-BDBE-721190A11E8F}">
  <sheetPr codeName="Sheet8"/>
  <dimension ref="A1:N20"/>
  <sheetViews>
    <sheetView workbookViewId="0"/>
  </sheetViews>
  <sheetFormatPr defaultRowHeight="15" x14ac:dyDescent="0.25"/>
  <cols>
    <col min="1" max="1" width="13.5703125" bestFit="1" customWidth="1"/>
    <col min="11" max="11" width="2.7109375" customWidth="1"/>
    <col min="12" max="12" width="12.7109375" bestFit="1" customWidth="1"/>
  </cols>
  <sheetData>
    <row r="1" spans="1:14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169"/>
      <c r="I1" s="301" t="s">
        <v>8</v>
      </c>
      <c r="J1" s="302"/>
      <c r="L1" s="6" t="s">
        <v>9</v>
      </c>
    </row>
    <row r="2" spans="1:14" x14ac:dyDescent="0.25">
      <c r="A2" s="116" t="s">
        <v>4</v>
      </c>
      <c r="B2" s="117" t="s">
        <v>305</v>
      </c>
      <c r="C2" s="117"/>
      <c r="D2" s="117"/>
      <c r="E2" s="117"/>
      <c r="F2" s="117"/>
      <c r="G2" s="117"/>
      <c r="H2" s="117"/>
      <c r="I2" s="117"/>
      <c r="J2" s="118"/>
      <c r="K2" t="s">
        <v>317</v>
      </c>
      <c r="L2" t="s">
        <v>323</v>
      </c>
      <c r="M2" t="s">
        <v>324</v>
      </c>
    </row>
    <row r="3" spans="1:14" x14ac:dyDescent="0.25">
      <c r="A3" s="116" t="s">
        <v>5</v>
      </c>
      <c r="B3" s="117" t="s">
        <v>306</v>
      </c>
      <c r="C3" s="117"/>
      <c r="D3" s="117"/>
      <c r="E3" s="117"/>
      <c r="F3" s="117"/>
      <c r="G3" s="117"/>
      <c r="H3" s="117"/>
      <c r="I3" s="117"/>
      <c r="J3" s="118"/>
      <c r="L3" t="s">
        <v>280</v>
      </c>
      <c r="M3" t="s">
        <v>282</v>
      </c>
      <c r="N3" t="s">
        <v>284</v>
      </c>
    </row>
    <row r="4" spans="1:14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  <c r="L4" t="s">
        <v>287</v>
      </c>
      <c r="M4" s="218">
        <v>0.1</v>
      </c>
      <c r="N4" t="s">
        <v>325</v>
      </c>
    </row>
    <row r="5" spans="1:14" x14ac:dyDescent="0.25">
      <c r="A5" s="122" t="s">
        <v>6</v>
      </c>
      <c r="B5" s="117" t="s">
        <v>309</v>
      </c>
      <c r="C5" s="117"/>
      <c r="D5" s="117"/>
      <c r="E5" s="117"/>
      <c r="F5" s="117"/>
      <c r="G5" s="117"/>
      <c r="H5" s="117"/>
      <c r="I5" s="117"/>
      <c r="J5" s="118"/>
      <c r="L5" t="s">
        <v>289</v>
      </c>
      <c r="M5" s="218">
        <v>0.06</v>
      </c>
      <c r="N5" t="s">
        <v>326</v>
      </c>
    </row>
    <row r="6" spans="1:14" x14ac:dyDescent="0.25">
      <c r="A6" s="123"/>
      <c r="B6" s="117" t="s">
        <v>310</v>
      </c>
      <c r="C6" s="117"/>
      <c r="D6" s="117"/>
      <c r="E6" s="117"/>
      <c r="F6" s="117"/>
      <c r="G6" s="117"/>
      <c r="H6" s="117"/>
      <c r="I6" s="117"/>
      <c r="J6" s="118"/>
      <c r="L6" t="s">
        <v>286</v>
      </c>
      <c r="M6" s="218">
        <v>0.1</v>
      </c>
      <c r="N6" t="s">
        <v>327</v>
      </c>
    </row>
    <row r="7" spans="1:14" x14ac:dyDescent="0.25">
      <c r="A7" s="123"/>
      <c r="B7" s="117"/>
      <c r="C7" s="117"/>
      <c r="D7" s="117"/>
      <c r="E7" s="117"/>
      <c r="F7" s="117"/>
      <c r="G7" s="117"/>
      <c r="H7" s="117"/>
      <c r="I7" s="117"/>
      <c r="J7" s="118"/>
    </row>
    <row r="8" spans="1:14" x14ac:dyDescent="0.25">
      <c r="A8" s="123"/>
      <c r="B8" s="117" t="s">
        <v>311</v>
      </c>
      <c r="C8" s="117"/>
      <c r="D8" s="117"/>
      <c r="E8" s="117"/>
      <c r="F8" s="117"/>
      <c r="G8" s="117"/>
      <c r="H8" s="117"/>
      <c r="I8" s="117"/>
      <c r="J8" s="118"/>
      <c r="M8" s="248">
        <f>MIN(25%,SUM(M4:M6))</f>
        <v>0.25</v>
      </c>
      <c r="N8" t="s">
        <v>328</v>
      </c>
    </row>
    <row r="9" spans="1:14" x14ac:dyDescent="0.25">
      <c r="A9" s="123"/>
      <c r="B9" s="117" t="s">
        <v>312</v>
      </c>
      <c r="C9" s="117"/>
      <c r="D9" s="117"/>
      <c r="E9" s="117"/>
      <c r="F9" s="117"/>
      <c r="G9" s="117"/>
      <c r="H9" s="117"/>
      <c r="I9" s="117"/>
      <c r="J9" s="118"/>
    </row>
    <row r="10" spans="1:14" x14ac:dyDescent="0.25">
      <c r="A10" s="123"/>
      <c r="B10" s="117" t="s">
        <v>313</v>
      </c>
      <c r="C10" s="117"/>
      <c r="D10" s="117"/>
      <c r="E10" s="117"/>
      <c r="F10" s="117"/>
      <c r="G10" s="117"/>
      <c r="H10" s="117"/>
      <c r="I10" s="117"/>
      <c r="J10" s="118"/>
      <c r="K10" t="s">
        <v>320</v>
      </c>
      <c r="L10" t="s">
        <v>329</v>
      </c>
    </row>
    <row r="11" spans="1:14" x14ac:dyDescent="0.25">
      <c r="A11" s="123"/>
      <c r="B11" s="117" t="s">
        <v>314</v>
      </c>
      <c r="C11" s="117"/>
      <c r="D11" s="117"/>
      <c r="E11" s="117"/>
      <c r="F11" s="117"/>
      <c r="G11" s="117"/>
      <c r="H11" s="117"/>
      <c r="I11" s="117"/>
      <c r="J11" s="118"/>
      <c r="L11" t="s">
        <v>330</v>
      </c>
    </row>
    <row r="12" spans="1:14" x14ac:dyDescent="0.25">
      <c r="A12" s="123"/>
      <c r="B12" s="117" t="s">
        <v>315</v>
      </c>
      <c r="C12" s="117"/>
      <c r="D12" s="117"/>
      <c r="E12" s="117"/>
      <c r="F12" s="117"/>
      <c r="G12" s="117"/>
      <c r="H12" s="117"/>
      <c r="I12" s="117"/>
      <c r="J12" s="118"/>
      <c r="L12" t="s">
        <v>331</v>
      </c>
    </row>
    <row r="13" spans="1:14" x14ac:dyDescent="0.25">
      <c r="A13" s="123"/>
      <c r="B13" s="117" t="s">
        <v>316</v>
      </c>
      <c r="C13" s="117"/>
      <c r="D13" s="117"/>
      <c r="E13" s="117"/>
      <c r="F13" s="117"/>
      <c r="G13" s="117"/>
      <c r="H13" s="117"/>
      <c r="I13" s="117"/>
      <c r="J13" s="118"/>
      <c r="L13" t="s">
        <v>332</v>
      </c>
    </row>
    <row r="14" spans="1:14" x14ac:dyDescent="0.25">
      <c r="A14" s="123"/>
      <c r="B14" s="117"/>
      <c r="C14" s="117"/>
      <c r="D14" s="117"/>
      <c r="E14" s="117"/>
      <c r="F14" s="117"/>
      <c r="G14" s="117"/>
      <c r="H14" s="117"/>
      <c r="I14" s="117"/>
      <c r="J14" s="118"/>
    </row>
    <row r="15" spans="1:14" x14ac:dyDescent="0.25">
      <c r="A15" s="116" t="s">
        <v>7</v>
      </c>
      <c r="B15" s="117"/>
      <c r="C15" s="117"/>
      <c r="D15" s="117"/>
      <c r="E15" s="117"/>
      <c r="F15" s="117"/>
      <c r="G15" s="117"/>
      <c r="H15" s="117"/>
      <c r="I15" s="117"/>
      <c r="J15" s="118"/>
    </row>
    <row r="16" spans="1:14" x14ac:dyDescent="0.25">
      <c r="A16" s="247" t="s">
        <v>317</v>
      </c>
      <c r="B16" s="117" t="s">
        <v>318</v>
      </c>
      <c r="C16" s="117"/>
      <c r="D16" s="117"/>
      <c r="E16" s="117"/>
      <c r="F16" s="117"/>
      <c r="G16" s="117"/>
      <c r="H16" s="117"/>
      <c r="I16" s="117"/>
      <c r="J16" s="118"/>
    </row>
    <row r="17" spans="1:10" x14ac:dyDescent="0.25">
      <c r="A17" s="247"/>
      <c r="B17" s="117" t="s">
        <v>319</v>
      </c>
      <c r="C17" s="117"/>
      <c r="D17" s="117"/>
      <c r="E17" s="117"/>
      <c r="F17" s="117"/>
      <c r="G17" s="117"/>
      <c r="H17" s="117"/>
      <c r="I17" s="117"/>
      <c r="J17" s="118"/>
    </row>
    <row r="18" spans="1:10" x14ac:dyDescent="0.25">
      <c r="A18" s="247"/>
      <c r="B18" s="117"/>
      <c r="C18" s="117"/>
      <c r="D18" s="117"/>
      <c r="E18" s="117"/>
      <c r="F18" s="117"/>
      <c r="G18" s="117"/>
      <c r="H18" s="117"/>
      <c r="I18" s="117"/>
      <c r="J18" s="118"/>
    </row>
    <row r="19" spans="1:10" x14ac:dyDescent="0.25">
      <c r="A19" s="247" t="s">
        <v>320</v>
      </c>
      <c r="B19" s="117" t="s">
        <v>321</v>
      </c>
      <c r="C19" s="117"/>
      <c r="D19" s="117"/>
      <c r="E19" s="117"/>
      <c r="F19" s="117"/>
      <c r="G19" s="117"/>
      <c r="H19" s="117"/>
      <c r="I19" s="117"/>
      <c r="J19" s="118"/>
    </row>
    <row r="20" spans="1:10" ht="15.75" thickBot="1" x14ac:dyDescent="0.3">
      <c r="A20" s="165"/>
      <c r="B20" s="166" t="s">
        <v>322</v>
      </c>
      <c r="C20" s="166"/>
      <c r="D20" s="166"/>
      <c r="E20" s="166"/>
      <c r="F20" s="166"/>
      <c r="G20" s="166"/>
      <c r="H20" s="166"/>
      <c r="I20" s="166"/>
      <c r="J20" s="167"/>
    </row>
  </sheetData>
  <mergeCells count="1">
    <mergeCell ref="I1:J1"/>
  </mergeCells>
  <hyperlinks>
    <hyperlink ref="I1" location="TOC!A1" display="Return to TOC" xr:uid="{1FFE756A-C412-4D27-8613-BD07A557FD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1BC3-278C-4235-938F-970E5D38587C}">
  <sheetPr codeName="Sheet9"/>
  <dimension ref="A1:U42"/>
  <sheetViews>
    <sheetView workbookViewId="0"/>
  </sheetViews>
  <sheetFormatPr defaultRowHeight="15" x14ac:dyDescent="0.25"/>
  <cols>
    <col min="1" max="1" width="13.5703125" bestFit="1" customWidth="1"/>
    <col min="2" max="3" width="12.28515625" customWidth="1"/>
    <col min="4" max="4" width="10.85546875" customWidth="1"/>
    <col min="8" max="8" width="9.7109375" bestFit="1" customWidth="1"/>
    <col min="9" max="9" width="9.28515625" bestFit="1" customWidth="1"/>
    <col min="11" max="11" width="2.7109375" customWidth="1"/>
  </cols>
  <sheetData>
    <row r="1" spans="1:21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169"/>
      <c r="I1" s="301" t="s">
        <v>8</v>
      </c>
      <c r="J1" s="302"/>
      <c r="L1" s="6" t="s">
        <v>9</v>
      </c>
    </row>
    <row r="2" spans="1:21" x14ac:dyDescent="0.25">
      <c r="A2" s="116" t="s">
        <v>4</v>
      </c>
      <c r="B2" s="117" t="s">
        <v>333</v>
      </c>
      <c r="C2" s="117"/>
      <c r="D2" s="117"/>
      <c r="E2" s="117"/>
      <c r="F2" s="117"/>
      <c r="G2" s="117"/>
      <c r="H2" s="117"/>
      <c r="I2" s="117"/>
      <c r="J2" s="118"/>
      <c r="L2" t="s">
        <v>347</v>
      </c>
    </row>
    <row r="3" spans="1:21" x14ac:dyDescent="0.25">
      <c r="A3" s="116" t="s">
        <v>5</v>
      </c>
      <c r="B3" s="117" t="s">
        <v>334</v>
      </c>
      <c r="C3" s="117"/>
      <c r="D3" s="117"/>
      <c r="E3" s="117"/>
      <c r="F3" s="117"/>
      <c r="G3" s="117"/>
      <c r="H3" s="117"/>
      <c r="I3" s="117"/>
      <c r="J3" s="118"/>
      <c r="L3" t="s">
        <v>348</v>
      </c>
    </row>
    <row r="4" spans="1:2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</row>
    <row r="5" spans="1:21" x14ac:dyDescent="0.25">
      <c r="A5" s="122" t="s">
        <v>6</v>
      </c>
      <c r="B5" s="117" t="s">
        <v>336</v>
      </c>
      <c r="C5" s="117"/>
      <c r="D5" s="117"/>
      <c r="E5" s="117"/>
      <c r="F5" s="117"/>
      <c r="G5" s="117"/>
      <c r="H5" s="117"/>
      <c r="I5" s="117"/>
      <c r="J5" s="118"/>
      <c r="L5" s="198" t="s">
        <v>171</v>
      </c>
      <c r="M5" s="189" t="s">
        <v>56</v>
      </c>
      <c r="N5" s="184" t="s">
        <v>57</v>
      </c>
      <c r="O5" s="184" t="s">
        <v>58</v>
      </c>
      <c r="P5" s="184" t="s">
        <v>59</v>
      </c>
      <c r="Q5" s="189" t="s">
        <v>10</v>
      </c>
      <c r="R5" s="184" t="s">
        <v>99</v>
      </c>
      <c r="S5" s="184" t="s">
        <v>105</v>
      </c>
      <c r="T5" s="189" t="s">
        <v>10</v>
      </c>
    </row>
    <row r="6" spans="1:21" x14ac:dyDescent="0.25">
      <c r="A6" s="123"/>
      <c r="B6" s="117"/>
      <c r="C6" s="117"/>
      <c r="D6" s="117"/>
      <c r="E6" s="117"/>
      <c r="F6" s="117"/>
      <c r="G6" s="117"/>
      <c r="H6" s="117"/>
      <c r="I6" s="117"/>
      <c r="J6" s="118"/>
      <c r="L6" s="195">
        <v>2011</v>
      </c>
      <c r="M6" s="264">
        <f>$B$14*$B$15</f>
        <v>70000</v>
      </c>
      <c r="N6" s="174">
        <f>$H$26</f>
        <v>2.39</v>
      </c>
      <c r="O6" s="263">
        <f>$C$27</f>
        <v>1</v>
      </c>
      <c r="P6" s="174">
        <f>C32</f>
        <v>0.88200000000000001</v>
      </c>
      <c r="Q6" s="265">
        <f>PRODUCT(M6:P6)</f>
        <v>147558.6</v>
      </c>
      <c r="R6" s="174">
        <f>$M$13</f>
        <v>0.95899999999999996</v>
      </c>
      <c r="S6" s="174">
        <f>G31</f>
        <v>0.71799999999999997</v>
      </c>
      <c r="T6" s="265">
        <f>PRODUCT(Q6:S6)</f>
        <v>101603.2447332</v>
      </c>
    </row>
    <row r="7" spans="1:21" x14ac:dyDescent="0.25">
      <c r="A7" s="123"/>
      <c r="B7" s="117" t="s">
        <v>337</v>
      </c>
      <c r="C7" s="117"/>
      <c r="D7" s="117"/>
      <c r="E7" s="117"/>
      <c r="F7" s="117"/>
      <c r="G7" s="117"/>
      <c r="H7" s="117"/>
      <c r="I7" s="117"/>
      <c r="J7" s="118"/>
      <c r="L7" s="176">
        <v>2010</v>
      </c>
      <c r="M7" s="215">
        <f>$B$14*$B$15</f>
        <v>70000</v>
      </c>
      <c r="N7" s="4">
        <f>$H$26</f>
        <v>2.39</v>
      </c>
      <c r="O7" s="178">
        <f t="shared" ref="O7:O8" si="0">$C$27</f>
        <v>1</v>
      </c>
      <c r="P7" s="4">
        <f>C33</f>
        <v>0.82799999999999996</v>
      </c>
      <c r="Q7" s="251">
        <f>PRODUCT(M7:P7)</f>
        <v>138524.4</v>
      </c>
      <c r="R7" s="4">
        <f t="shared" ref="R7:R8" si="1">$M$13</f>
        <v>0.95899999999999996</v>
      </c>
      <c r="S7" s="4">
        <f>H31</f>
        <v>0.56000000000000005</v>
      </c>
      <c r="T7" s="251">
        <f>PRODUCT(Q7:S7)</f>
        <v>74393.143775999997</v>
      </c>
    </row>
    <row r="8" spans="1:21" x14ac:dyDescent="0.25">
      <c r="A8" s="123"/>
      <c r="B8" s="117" t="s">
        <v>338</v>
      </c>
      <c r="C8" s="117"/>
      <c r="D8" s="117"/>
      <c r="E8" s="117"/>
      <c r="F8" s="117"/>
      <c r="G8" s="117"/>
      <c r="H8" s="117"/>
      <c r="I8" s="117"/>
      <c r="J8" s="118"/>
      <c r="L8" s="179">
        <v>2009</v>
      </c>
      <c r="M8" s="216">
        <f>$B$14*$B$15</f>
        <v>70000</v>
      </c>
      <c r="N8" s="181">
        <f>$H$26</f>
        <v>2.39</v>
      </c>
      <c r="O8" s="182">
        <f t="shared" si="0"/>
        <v>1</v>
      </c>
      <c r="P8" s="181">
        <f>C34</f>
        <v>0.77700000000000002</v>
      </c>
      <c r="Q8" s="252">
        <f>PRODUCT(M8:P8)</f>
        <v>129992.1</v>
      </c>
      <c r="R8" s="181">
        <f t="shared" si="1"/>
        <v>0.95899999999999996</v>
      </c>
      <c r="S8" s="181">
        <f>I31</f>
        <v>0.42499999999999999</v>
      </c>
      <c r="T8" s="252">
        <f>PRODUCT(Q8:S8)</f>
        <v>52981.530157499998</v>
      </c>
    </row>
    <row r="9" spans="1:21" x14ac:dyDescent="0.25">
      <c r="A9" s="123"/>
      <c r="B9" s="117" t="s">
        <v>339</v>
      </c>
      <c r="C9" s="117"/>
      <c r="D9" s="117"/>
      <c r="E9" s="117"/>
      <c r="F9" s="117"/>
      <c r="G9" s="117"/>
      <c r="H9" s="117"/>
      <c r="I9" s="117"/>
      <c r="J9" s="118"/>
      <c r="L9" s="4"/>
      <c r="M9" s="4"/>
      <c r="N9" s="4"/>
      <c r="O9" s="4"/>
      <c r="P9" s="235" t="s">
        <v>176</v>
      </c>
      <c r="Q9" s="238">
        <f>SUM(Q6:Q8)</f>
        <v>416075.1</v>
      </c>
      <c r="R9" s="235"/>
      <c r="S9" s="235"/>
      <c r="T9" s="238">
        <f>SUM(T6:T8)</f>
        <v>228977.91866670002</v>
      </c>
      <c r="U9" s="249" t="s">
        <v>371</v>
      </c>
    </row>
    <row r="10" spans="1:21" x14ac:dyDescent="0.25">
      <c r="A10" s="123"/>
      <c r="B10" s="117" t="s">
        <v>340</v>
      </c>
      <c r="C10" s="117"/>
      <c r="D10" s="117"/>
      <c r="E10" s="117"/>
      <c r="F10" s="117"/>
      <c r="G10" s="117"/>
      <c r="H10" s="117"/>
      <c r="I10" s="117"/>
      <c r="J10" s="118"/>
    </row>
    <row r="11" spans="1:21" x14ac:dyDescent="0.25">
      <c r="A11" s="123"/>
      <c r="B11" s="117" t="s">
        <v>341</v>
      </c>
      <c r="C11" s="117"/>
      <c r="D11" s="117"/>
      <c r="E11" s="117"/>
      <c r="F11" s="117"/>
      <c r="G11" s="117"/>
      <c r="H11" s="117"/>
      <c r="I11" s="117"/>
      <c r="J11" s="118"/>
      <c r="L11" t="s">
        <v>365</v>
      </c>
    </row>
    <row r="12" spans="1:21" x14ac:dyDescent="0.25">
      <c r="A12" s="123"/>
      <c r="B12" s="117" t="s">
        <v>342</v>
      </c>
      <c r="C12" s="117"/>
      <c r="D12" s="117"/>
      <c r="E12" s="117"/>
      <c r="F12" s="117"/>
      <c r="G12" s="117"/>
      <c r="H12" s="117"/>
      <c r="I12" s="117"/>
      <c r="J12" s="118"/>
      <c r="L12" s="198" t="s">
        <v>366</v>
      </c>
      <c r="M12" s="184" t="s">
        <v>99</v>
      </c>
      <c r="N12" s="185" t="s">
        <v>100</v>
      </c>
    </row>
    <row r="13" spans="1:21" x14ac:dyDescent="0.25">
      <c r="A13" s="123"/>
      <c r="B13" s="117"/>
      <c r="C13" s="117"/>
      <c r="D13" s="117"/>
      <c r="E13" s="117"/>
      <c r="F13" s="117"/>
      <c r="G13" s="117"/>
      <c r="H13" s="117"/>
      <c r="I13" s="117"/>
      <c r="J13" s="118"/>
      <c r="L13" s="179">
        <f>D39</f>
        <v>0.59</v>
      </c>
      <c r="M13" s="181">
        <f>E39</f>
        <v>0.95899999999999996</v>
      </c>
      <c r="N13" s="197">
        <f>F39</f>
        <v>198100</v>
      </c>
    </row>
    <row r="14" spans="1:21" x14ac:dyDescent="0.25">
      <c r="A14" s="123"/>
      <c r="B14" s="219">
        <v>100000</v>
      </c>
      <c r="C14" s="220" t="s">
        <v>343</v>
      </c>
      <c r="D14" s="220"/>
      <c r="E14" s="221"/>
      <c r="F14" s="117"/>
      <c r="G14" s="117"/>
      <c r="H14" s="117"/>
      <c r="I14" s="117"/>
      <c r="J14" s="118"/>
    </row>
    <row r="15" spans="1:21" x14ac:dyDescent="0.25">
      <c r="A15" s="123"/>
      <c r="B15" s="223">
        <v>0.7</v>
      </c>
      <c r="C15" s="224" t="s">
        <v>145</v>
      </c>
      <c r="D15" s="224"/>
      <c r="E15" s="144"/>
      <c r="F15" s="117"/>
      <c r="G15" s="117"/>
      <c r="H15" s="117"/>
      <c r="I15" s="117"/>
      <c r="J15" s="118"/>
      <c r="L15" t="s">
        <v>367</v>
      </c>
    </row>
    <row r="16" spans="1:21" x14ac:dyDescent="0.25">
      <c r="A16" s="123"/>
      <c r="B16" s="117"/>
      <c r="C16" s="117"/>
      <c r="D16" s="117"/>
      <c r="E16" s="117"/>
      <c r="F16" s="117"/>
      <c r="G16" s="117"/>
      <c r="H16" s="117"/>
      <c r="I16" s="117"/>
      <c r="J16" s="118"/>
      <c r="L16" t="s">
        <v>368</v>
      </c>
    </row>
    <row r="17" spans="1:18" x14ac:dyDescent="0.25">
      <c r="A17" s="116" t="s">
        <v>7</v>
      </c>
      <c r="B17" s="117" t="s">
        <v>344</v>
      </c>
      <c r="C17" s="117"/>
      <c r="D17" s="117"/>
      <c r="E17" s="117"/>
      <c r="F17" s="117"/>
      <c r="G17" s="117"/>
      <c r="H17" s="117"/>
      <c r="I17" s="117"/>
      <c r="J17" s="118"/>
      <c r="L17" t="s">
        <v>369</v>
      </c>
    </row>
    <row r="18" spans="1:18" x14ac:dyDescent="0.25">
      <c r="A18" s="123"/>
      <c r="B18" s="117" t="s">
        <v>345</v>
      </c>
      <c r="C18" s="117"/>
      <c r="D18" s="117"/>
      <c r="E18" s="117"/>
      <c r="F18" s="117"/>
      <c r="G18" s="117"/>
      <c r="H18" s="117"/>
      <c r="I18" s="117"/>
      <c r="J18" s="118"/>
    </row>
    <row r="19" spans="1:18" x14ac:dyDescent="0.25">
      <c r="A19" s="123"/>
      <c r="B19" s="117" t="s">
        <v>346</v>
      </c>
      <c r="C19" s="117"/>
      <c r="D19" s="117"/>
      <c r="E19" s="117"/>
      <c r="F19" s="117"/>
      <c r="G19" s="117"/>
      <c r="H19" s="117"/>
      <c r="I19" s="117"/>
      <c r="J19" s="118"/>
      <c r="L19" t="s">
        <v>372</v>
      </c>
    </row>
    <row r="20" spans="1:18" x14ac:dyDescent="0.25">
      <c r="A20" s="123"/>
      <c r="B20" s="117"/>
      <c r="C20" s="117"/>
      <c r="D20" s="117"/>
      <c r="E20" s="117"/>
      <c r="F20" s="117"/>
      <c r="G20" s="117"/>
      <c r="H20" s="117"/>
      <c r="I20" s="117"/>
      <c r="J20" s="118"/>
      <c r="L20" t="s">
        <v>373</v>
      </c>
    </row>
    <row r="21" spans="1:18" x14ac:dyDescent="0.25">
      <c r="A21" s="123"/>
      <c r="B21" s="117" t="s">
        <v>263</v>
      </c>
      <c r="C21" s="117"/>
      <c r="D21" s="117"/>
      <c r="E21" s="117"/>
      <c r="F21" s="117"/>
      <c r="G21" s="117"/>
      <c r="H21" s="117"/>
      <c r="I21" s="117"/>
      <c r="J21" s="118"/>
      <c r="L21" t="s">
        <v>374</v>
      </c>
    </row>
    <row r="22" spans="1:18" x14ac:dyDescent="0.25">
      <c r="A22" s="123"/>
      <c r="B22" s="117"/>
      <c r="C22" s="117"/>
      <c r="D22" s="117"/>
      <c r="E22" s="117"/>
      <c r="F22" s="117"/>
      <c r="G22" s="117"/>
      <c r="H22" s="117"/>
      <c r="I22" s="117"/>
      <c r="J22" s="118"/>
      <c r="L22" t="s">
        <v>375</v>
      </c>
      <c r="P22" s="4"/>
      <c r="Q22" s="4"/>
      <c r="R22" s="4"/>
    </row>
    <row r="23" spans="1:18" x14ac:dyDescent="0.25">
      <c r="A23" s="123"/>
      <c r="B23" s="253" t="s">
        <v>359</v>
      </c>
      <c r="C23" s="253"/>
      <c r="D23" s="253"/>
      <c r="E23" s="253"/>
      <c r="F23" s="253"/>
      <c r="G23" s="253"/>
      <c r="H23" s="253"/>
      <c r="I23" s="117"/>
      <c r="J23" s="118"/>
      <c r="P23" s="4"/>
      <c r="Q23" s="4"/>
      <c r="R23" s="4"/>
    </row>
    <row r="24" spans="1:18" x14ac:dyDescent="0.25">
      <c r="A24" s="123"/>
      <c r="B24" s="117"/>
      <c r="C24" s="117"/>
      <c r="D24" s="155" t="s">
        <v>357</v>
      </c>
      <c r="E24" s="156"/>
      <c r="F24" s="156"/>
      <c r="G24" s="156"/>
      <c r="H24" s="254"/>
      <c r="I24" s="117"/>
      <c r="J24" s="118"/>
      <c r="L24" t="s">
        <v>231</v>
      </c>
    </row>
    <row r="25" spans="1:18" x14ac:dyDescent="0.25">
      <c r="A25" s="123"/>
      <c r="B25" s="136" t="s">
        <v>2</v>
      </c>
      <c r="C25" s="136" t="s">
        <v>23</v>
      </c>
      <c r="D25" s="242" t="s">
        <v>155</v>
      </c>
      <c r="E25" s="242" t="s">
        <v>353</v>
      </c>
      <c r="F25" s="242" t="s">
        <v>354</v>
      </c>
      <c r="G25" s="242" t="s">
        <v>355</v>
      </c>
      <c r="H25" s="145" t="s">
        <v>356</v>
      </c>
      <c r="I25" s="117"/>
      <c r="J25" s="118"/>
    </row>
    <row r="26" spans="1:18" x14ac:dyDescent="0.25">
      <c r="A26" s="123"/>
      <c r="B26" s="151" t="s">
        <v>351</v>
      </c>
      <c r="C26" s="203">
        <v>1</v>
      </c>
      <c r="D26" s="255">
        <v>1.24</v>
      </c>
      <c r="E26" s="255">
        <v>1.51</v>
      </c>
      <c r="F26" s="255">
        <v>1.59</v>
      </c>
      <c r="G26" s="255">
        <v>2.0299999999999998</v>
      </c>
      <c r="H26" s="256">
        <v>2.39</v>
      </c>
      <c r="I26" s="117"/>
      <c r="J26" s="118"/>
      <c r="L26" t="s">
        <v>376</v>
      </c>
    </row>
    <row r="27" spans="1:18" x14ac:dyDescent="0.25">
      <c r="A27" s="123"/>
      <c r="B27" s="141" t="s">
        <v>352</v>
      </c>
      <c r="C27" s="162">
        <v>1</v>
      </c>
      <c r="D27" s="257">
        <v>0.72</v>
      </c>
      <c r="E27" s="257">
        <v>0.49</v>
      </c>
      <c r="F27" s="257">
        <v>0.43</v>
      </c>
      <c r="G27" s="257">
        <v>0.35</v>
      </c>
      <c r="H27" s="258">
        <v>0.22</v>
      </c>
      <c r="I27" s="117"/>
      <c r="J27" s="118"/>
      <c r="L27" t="s">
        <v>377</v>
      </c>
      <c r="N27">
        <f>M13*Q9-T9</f>
        <v>170038.10223329993</v>
      </c>
    </row>
    <row r="28" spans="1:18" x14ac:dyDescent="0.25">
      <c r="A28" s="123"/>
      <c r="B28" s="117"/>
      <c r="C28" s="117"/>
      <c r="D28" s="117"/>
      <c r="E28" s="117"/>
      <c r="F28" s="117"/>
      <c r="G28" s="117"/>
      <c r="H28" s="117"/>
      <c r="I28" s="117"/>
      <c r="J28" s="118"/>
    </row>
    <row r="29" spans="1:18" x14ac:dyDescent="0.25">
      <c r="A29" s="123"/>
      <c r="B29" s="253" t="s">
        <v>358</v>
      </c>
      <c r="C29" s="160"/>
      <c r="D29" s="160"/>
      <c r="E29" s="117"/>
      <c r="F29" s="253" t="s">
        <v>360</v>
      </c>
      <c r="G29" s="160"/>
      <c r="H29" s="160"/>
      <c r="I29" s="160"/>
      <c r="J29" s="118"/>
      <c r="L29" t="s">
        <v>378</v>
      </c>
    </row>
    <row r="30" spans="1:18" x14ac:dyDescent="0.25">
      <c r="A30" s="123"/>
      <c r="B30" s="128" t="s">
        <v>349</v>
      </c>
      <c r="C30" s="136" t="s">
        <v>187</v>
      </c>
      <c r="D30" s="145" t="s">
        <v>187</v>
      </c>
      <c r="E30" s="117"/>
      <c r="F30" s="225" t="s">
        <v>361</v>
      </c>
      <c r="G30" s="151" t="s">
        <v>254</v>
      </c>
      <c r="H30" s="151" t="s">
        <v>148</v>
      </c>
      <c r="I30" s="153" t="s">
        <v>149</v>
      </c>
      <c r="J30" s="118"/>
    </row>
    <row r="31" spans="1:18" x14ac:dyDescent="0.25">
      <c r="A31" s="123"/>
      <c r="B31" s="132" t="s">
        <v>350</v>
      </c>
      <c r="C31" s="141" t="s">
        <v>188</v>
      </c>
      <c r="D31" s="146" t="s">
        <v>189</v>
      </c>
      <c r="E31" s="117"/>
      <c r="F31" s="147">
        <v>18</v>
      </c>
      <c r="G31" s="140">
        <v>0.71799999999999997</v>
      </c>
      <c r="H31" s="231">
        <v>0.56000000000000005</v>
      </c>
      <c r="I31" s="148">
        <v>0.42499999999999999</v>
      </c>
      <c r="J31" s="118"/>
      <c r="L31" t="s">
        <v>379</v>
      </c>
    </row>
    <row r="32" spans="1:18" x14ac:dyDescent="0.25">
      <c r="A32" s="123"/>
      <c r="B32" s="147" t="s">
        <v>254</v>
      </c>
      <c r="C32" s="140">
        <v>0.88200000000000001</v>
      </c>
      <c r="D32" s="148">
        <v>0.90100000000000002</v>
      </c>
      <c r="E32" s="117"/>
      <c r="F32" s="147">
        <v>21</v>
      </c>
      <c r="G32" s="140">
        <v>0.67500000000000004</v>
      </c>
      <c r="H32" s="140">
        <v>0.53500000000000003</v>
      </c>
      <c r="I32" s="148">
        <v>0.40400000000000003</v>
      </c>
      <c r="J32" s="118"/>
      <c r="L32" t="s">
        <v>380</v>
      </c>
    </row>
    <row r="33" spans="1:12" x14ac:dyDescent="0.25">
      <c r="A33" s="123"/>
      <c r="B33" s="147" t="s">
        <v>148</v>
      </c>
      <c r="C33" s="140">
        <v>0.82799999999999996</v>
      </c>
      <c r="D33" s="148">
        <v>0.85399999999999998</v>
      </c>
      <c r="E33" s="117"/>
      <c r="F33" s="147">
        <v>24</v>
      </c>
      <c r="G33" s="140">
        <v>0.63500000000000001</v>
      </c>
      <c r="H33" s="140">
        <v>0.497</v>
      </c>
      <c r="I33" s="148">
        <v>0.377</v>
      </c>
      <c r="J33" s="118"/>
    </row>
    <row r="34" spans="1:12" x14ac:dyDescent="0.25">
      <c r="A34" s="123"/>
      <c r="B34" s="132" t="s">
        <v>149</v>
      </c>
      <c r="C34" s="141">
        <v>0.77700000000000002</v>
      </c>
      <c r="D34" s="281">
        <v>0.81</v>
      </c>
      <c r="E34" s="117"/>
      <c r="F34" s="132">
        <v>27</v>
      </c>
      <c r="G34" s="141">
        <v>0.59599999999999997</v>
      </c>
      <c r="H34" s="141">
        <v>0.46100000000000002</v>
      </c>
      <c r="I34" s="146">
        <v>0.35099999999999998</v>
      </c>
      <c r="J34" s="118"/>
      <c r="L34" t="s">
        <v>381</v>
      </c>
    </row>
    <row r="35" spans="1:12" x14ac:dyDescent="0.25">
      <c r="A35" s="123"/>
      <c r="B35" s="117"/>
      <c r="C35" s="117"/>
      <c r="D35" s="117"/>
      <c r="E35" s="117"/>
      <c r="F35" s="117"/>
      <c r="G35" s="117"/>
      <c r="H35" s="117"/>
      <c r="I35" s="117"/>
      <c r="J35" s="118"/>
    </row>
    <row r="36" spans="1:12" x14ac:dyDescent="0.25">
      <c r="A36" s="123"/>
      <c r="B36" s="253" t="s">
        <v>362</v>
      </c>
      <c r="C36" s="160"/>
      <c r="D36" s="117"/>
      <c r="E36" s="117"/>
      <c r="F36" s="117"/>
      <c r="G36" s="117"/>
      <c r="H36" s="117"/>
      <c r="I36" s="117"/>
      <c r="J36" s="118"/>
    </row>
    <row r="37" spans="1:12" x14ac:dyDescent="0.25">
      <c r="A37" s="123"/>
      <c r="B37" s="225" t="s">
        <v>363</v>
      </c>
      <c r="C37" s="151" t="s">
        <v>364</v>
      </c>
      <c r="D37" s="152" t="s">
        <v>11</v>
      </c>
      <c r="E37" s="151" t="s">
        <v>99</v>
      </c>
      <c r="F37" s="153" t="s">
        <v>100</v>
      </c>
      <c r="G37" s="117"/>
      <c r="H37" s="117"/>
      <c r="I37" s="117"/>
      <c r="J37" s="118"/>
    </row>
    <row r="38" spans="1:12" x14ac:dyDescent="0.25">
      <c r="A38" s="123"/>
      <c r="B38" s="259">
        <v>389918</v>
      </c>
      <c r="C38" s="161">
        <v>406257</v>
      </c>
      <c r="D38" s="150">
        <v>0.57999999999999996</v>
      </c>
      <c r="E38" s="140">
        <v>0.95699999999999996</v>
      </c>
      <c r="F38" s="260">
        <v>192950</v>
      </c>
      <c r="G38" s="117"/>
      <c r="H38" s="117"/>
      <c r="I38" s="117"/>
      <c r="J38" s="118"/>
    </row>
    <row r="39" spans="1:12" x14ac:dyDescent="0.25">
      <c r="A39" s="123"/>
      <c r="B39" s="259">
        <v>406258</v>
      </c>
      <c r="C39" s="161">
        <v>423404</v>
      </c>
      <c r="D39" s="150">
        <v>0.59</v>
      </c>
      <c r="E39" s="140">
        <v>0.95899999999999996</v>
      </c>
      <c r="F39" s="260">
        <v>198100</v>
      </c>
      <c r="G39" s="117"/>
      <c r="H39" s="117"/>
      <c r="I39" s="117"/>
      <c r="J39" s="118"/>
    </row>
    <row r="40" spans="1:12" x14ac:dyDescent="0.25">
      <c r="A40" s="123"/>
      <c r="B40" s="259">
        <v>423405</v>
      </c>
      <c r="C40" s="161">
        <v>441420</v>
      </c>
      <c r="D40" s="282">
        <v>0.6</v>
      </c>
      <c r="E40" s="140">
        <v>0.96099999999999997</v>
      </c>
      <c r="F40" s="260">
        <v>203500</v>
      </c>
      <c r="G40" s="117"/>
      <c r="H40" s="117"/>
      <c r="I40" s="117"/>
      <c r="J40" s="118"/>
    </row>
    <row r="41" spans="1:12" x14ac:dyDescent="0.25">
      <c r="A41" s="123"/>
      <c r="B41" s="261">
        <v>441421</v>
      </c>
      <c r="C41" s="163">
        <v>460371</v>
      </c>
      <c r="D41" s="154">
        <v>0.61</v>
      </c>
      <c r="E41" s="141">
        <v>0.96399999999999997</v>
      </c>
      <c r="F41" s="262">
        <v>209200</v>
      </c>
      <c r="G41" s="117"/>
      <c r="H41" s="117"/>
      <c r="I41" s="117"/>
      <c r="J41" s="118"/>
    </row>
    <row r="42" spans="1:12" ht="15.75" thickBot="1" x14ac:dyDescent="0.3">
      <c r="A42" s="165"/>
      <c r="B42" s="166"/>
      <c r="C42" s="166"/>
      <c r="D42" s="166"/>
      <c r="E42" s="166"/>
      <c r="F42" s="166"/>
      <c r="G42" s="166"/>
      <c r="H42" s="166"/>
      <c r="I42" s="166"/>
      <c r="J42" s="167"/>
    </row>
  </sheetData>
  <mergeCells count="1">
    <mergeCell ref="I1:J1"/>
  </mergeCells>
  <hyperlinks>
    <hyperlink ref="I1" location="TOC!A1" display="Return to TOC" xr:uid="{DCF49529-A20D-4DF3-88DF-101759EDE06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44D4-D7BC-4994-924D-1058F159E0AA}">
  <sheetPr codeName="Sheet10"/>
  <dimension ref="A1:P42"/>
  <sheetViews>
    <sheetView workbookViewId="0"/>
  </sheetViews>
  <sheetFormatPr defaultRowHeight="15" x14ac:dyDescent="0.25"/>
  <cols>
    <col min="1" max="1" width="13.5703125" bestFit="1" customWidth="1"/>
    <col min="2" max="2" width="9.5703125" customWidth="1"/>
    <col min="3" max="3" width="10.5703125" bestFit="1" customWidth="1"/>
    <col min="4" max="4" width="12.28515625" bestFit="1" customWidth="1"/>
    <col min="5" max="5" width="18.28515625" bestFit="1" customWidth="1"/>
    <col min="6" max="6" width="9" bestFit="1" customWidth="1"/>
    <col min="7" max="7" width="4.7109375" customWidth="1"/>
    <col min="9" max="9" width="2.7109375" customWidth="1"/>
    <col min="10" max="10" width="10.140625" customWidth="1"/>
    <col min="11" max="11" width="12" bestFit="1" customWidth="1"/>
    <col min="12" max="12" width="11.5703125" bestFit="1" customWidth="1"/>
  </cols>
  <sheetData>
    <row r="1" spans="1:16" x14ac:dyDescent="0.25">
      <c r="A1" s="168" t="s">
        <v>3</v>
      </c>
      <c r="B1" s="169" t="s">
        <v>12</v>
      </c>
      <c r="C1" s="169"/>
      <c r="D1" s="170"/>
      <c r="E1" s="169"/>
      <c r="F1" s="169"/>
      <c r="G1" s="301" t="s">
        <v>8</v>
      </c>
      <c r="H1" s="302"/>
      <c r="J1" s="6" t="s">
        <v>9</v>
      </c>
    </row>
    <row r="2" spans="1:16" x14ac:dyDescent="0.25">
      <c r="A2" s="116" t="s">
        <v>4</v>
      </c>
      <c r="B2" s="117" t="s">
        <v>382</v>
      </c>
      <c r="C2" s="117"/>
      <c r="D2" s="117"/>
      <c r="E2" s="117"/>
      <c r="F2" s="117"/>
      <c r="G2" s="117"/>
      <c r="H2" s="118"/>
      <c r="J2" t="s">
        <v>235</v>
      </c>
    </row>
    <row r="3" spans="1:16" x14ac:dyDescent="0.25">
      <c r="A3" s="116" t="s">
        <v>5</v>
      </c>
      <c r="B3" s="117" t="s">
        <v>383</v>
      </c>
      <c r="C3" s="117"/>
      <c r="D3" s="117"/>
      <c r="E3" s="117"/>
      <c r="F3" s="117"/>
      <c r="G3" s="117"/>
      <c r="H3" s="118"/>
      <c r="J3" t="s">
        <v>403</v>
      </c>
    </row>
    <row r="4" spans="1:16" x14ac:dyDescent="0.25">
      <c r="A4" s="119"/>
      <c r="B4" s="120"/>
      <c r="C4" s="120"/>
      <c r="D4" s="120"/>
      <c r="E4" s="120"/>
      <c r="F4" s="120"/>
      <c r="G4" s="120"/>
      <c r="H4" s="121"/>
      <c r="J4" s="198" t="s">
        <v>366</v>
      </c>
      <c r="K4" s="184" t="s">
        <v>99</v>
      </c>
      <c r="L4" s="185" t="s">
        <v>100</v>
      </c>
    </row>
    <row r="5" spans="1:16" x14ac:dyDescent="0.25">
      <c r="A5" s="122" t="s">
        <v>6</v>
      </c>
      <c r="B5" s="117" t="s">
        <v>401</v>
      </c>
      <c r="C5" s="117"/>
      <c r="D5" s="117"/>
      <c r="E5" s="117"/>
      <c r="F5" s="117"/>
      <c r="G5" s="117"/>
      <c r="H5" s="118"/>
      <c r="J5" s="179">
        <f>D32</f>
        <v>0.34</v>
      </c>
      <c r="K5" s="181">
        <f t="shared" ref="K5:L5" si="0">E32</f>
        <v>0.87</v>
      </c>
      <c r="L5" s="197">
        <f t="shared" si="0"/>
        <v>111400</v>
      </c>
    </row>
    <row r="6" spans="1:16" x14ac:dyDescent="0.25">
      <c r="A6" s="123"/>
      <c r="B6" s="117"/>
      <c r="C6" s="117"/>
      <c r="D6" s="117"/>
      <c r="E6" s="117"/>
      <c r="F6" s="117"/>
      <c r="G6" s="117"/>
      <c r="H6" s="118"/>
    </row>
    <row r="7" spans="1:16" x14ac:dyDescent="0.25">
      <c r="A7" s="123"/>
      <c r="B7" s="117" t="s">
        <v>387</v>
      </c>
      <c r="C7" s="117"/>
      <c r="D7" s="117"/>
      <c r="E7" s="117"/>
      <c r="F7" s="117"/>
      <c r="G7" s="117"/>
      <c r="H7" s="118"/>
      <c r="J7" t="s">
        <v>404</v>
      </c>
    </row>
    <row r="8" spans="1:16" x14ac:dyDescent="0.25">
      <c r="A8" s="123"/>
      <c r="B8" s="117" t="s">
        <v>388</v>
      </c>
      <c r="C8" s="117"/>
      <c r="D8" s="117"/>
      <c r="E8" s="117"/>
      <c r="F8" s="117"/>
      <c r="G8" s="117"/>
      <c r="H8" s="118"/>
      <c r="J8" t="s">
        <v>234</v>
      </c>
      <c r="K8">
        <f>4.5%/J5*K5+K5</f>
        <v>0.98514705882352938</v>
      </c>
    </row>
    <row r="9" spans="1:16" x14ac:dyDescent="0.25">
      <c r="A9" s="123"/>
      <c r="B9" s="117"/>
      <c r="C9" s="117"/>
      <c r="D9" s="117"/>
      <c r="E9" s="117"/>
      <c r="F9" s="117"/>
      <c r="G9" s="117"/>
      <c r="H9" s="118"/>
    </row>
    <row r="10" spans="1:16" x14ac:dyDescent="0.25">
      <c r="A10" s="123"/>
      <c r="B10" s="230" t="s">
        <v>389</v>
      </c>
      <c r="C10" s="230"/>
      <c r="D10" s="230"/>
      <c r="E10" s="230"/>
      <c r="F10" s="117"/>
      <c r="G10" s="117"/>
      <c r="H10" s="118"/>
      <c r="J10" t="s">
        <v>405</v>
      </c>
    </row>
    <row r="11" spans="1:16" x14ac:dyDescent="0.25">
      <c r="A11" s="123"/>
      <c r="B11" s="128"/>
      <c r="C11" s="145"/>
      <c r="D11" s="136"/>
      <c r="E11" s="145" t="s">
        <v>394</v>
      </c>
      <c r="F11" s="117"/>
      <c r="G11" s="117"/>
      <c r="H11" s="118"/>
    </row>
    <row r="12" spans="1:16" x14ac:dyDescent="0.25">
      <c r="A12" s="123"/>
      <c r="B12" s="159" t="s">
        <v>391</v>
      </c>
      <c r="C12" s="270"/>
      <c r="D12" s="140" t="s">
        <v>349</v>
      </c>
      <c r="E12" s="148" t="s">
        <v>395</v>
      </c>
      <c r="F12" s="117"/>
      <c r="G12" s="117"/>
      <c r="H12" s="118"/>
      <c r="J12" t="s">
        <v>406</v>
      </c>
    </row>
    <row r="13" spans="1:16" x14ac:dyDescent="0.25">
      <c r="A13" s="123"/>
      <c r="B13" s="132" t="s">
        <v>390</v>
      </c>
      <c r="C13" s="146" t="s">
        <v>392</v>
      </c>
      <c r="D13" s="141" t="s">
        <v>2</v>
      </c>
      <c r="E13" s="146" t="s">
        <v>396</v>
      </c>
      <c r="F13" s="117"/>
      <c r="G13" s="117"/>
      <c r="H13" s="118"/>
      <c r="J13" s="198" t="s">
        <v>171</v>
      </c>
      <c r="K13" s="184" t="s">
        <v>399</v>
      </c>
      <c r="L13" s="184" t="s">
        <v>104</v>
      </c>
      <c r="M13" s="184" t="s">
        <v>99</v>
      </c>
      <c r="N13" s="184" t="s">
        <v>105</v>
      </c>
      <c r="O13" s="189" t="s">
        <v>10</v>
      </c>
    </row>
    <row r="14" spans="1:16" x14ac:dyDescent="0.25">
      <c r="A14" s="123"/>
      <c r="B14" s="269">
        <v>40909</v>
      </c>
      <c r="C14" s="271">
        <v>41274</v>
      </c>
      <c r="D14" s="140" t="s">
        <v>393</v>
      </c>
      <c r="E14" s="148" t="s">
        <v>397</v>
      </c>
      <c r="F14" s="117"/>
      <c r="G14" s="117"/>
      <c r="H14" s="118"/>
      <c r="J14" s="176" t="s">
        <v>254</v>
      </c>
      <c r="K14" s="187" t="s">
        <v>24</v>
      </c>
      <c r="L14" s="213">
        <v>32160</v>
      </c>
      <c r="M14" s="4">
        <f>$K$5</f>
        <v>0.87</v>
      </c>
      <c r="N14" s="4">
        <f>0</f>
        <v>0</v>
      </c>
      <c r="O14" s="251">
        <f>PRODUCT(L14:N14)</f>
        <v>0</v>
      </c>
      <c r="P14" t="s">
        <v>407</v>
      </c>
    </row>
    <row r="15" spans="1:16" x14ac:dyDescent="0.25">
      <c r="A15" s="123"/>
      <c r="B15" s="269">
        <v>40544</v>
      </c>
      <c r="C15" s="271">
        <v>40908</v>
      </c>
      <c r="D15" s="140" t="s">
        <v>23</v>
      </c>
      <c r="E15" s="228">
        <v>72234</v>
      </c>
      <c r="F15" s="117"/>
      <c r="G15" s="117"/>
      <c r="H15" s="118"/>
      <c r="J15" s="176"/>
      <c r="K15" s="187" t="s">
        <v>21</v>
      </c>
      <c r="L15" s="213">
        <v>6679</v>
      </c>
      <c r="M15" s="4">
        <f t="shared" ref="M15:M19" si="1">$K$5</f>
        <v>0.87</v>
      </c>
      <c r="N15" s="4">
        <v>0</v>
      </c>
      <c r="O15" s="251">
        <f t="shared" ref="O15:O19" si="2">PRODUCT(L15:N15)</f>
        <v>0</v>
      </c>
    </row>
    <row r="16" spans="1:16" x14ac:dyDescent="0.25">
      <c r="A16" s="123"/>
      <c r="B16" s="269">
        <v>40179</v>
      </c>
      <c r="C16" s="271">
        <v>40543</v>
      </c>
      <c r="D16" s="140" t="s">
        <v>23</v>
      </c>
      <c r="E16" s="228">
        <v>30484</v>
      </c>
      <c r="F16" s="117"/>
      <c r="G16" s="117"/>
      <c r="H16" s="118"/>
      <c r="J16" s="195" t="s">
        <v>148</v>
      </c>
      <c r="K16" s="207" t="s">
        <v>24</v>
      </c>
      <c r="L16" s="277">
        <v>42832</v>
      </c>
      <c r="M16" s="174">
        <f t="shared" si="1"/>
        <v>0.87</v>
      </c>
      <c r="N16" s="174">
        <f>D39</f>
        <v>0.33800000000000002</v>
      </c>
      <c r="O16" s="265">
        <f t="shared" si="2"/>
        <v>12595.17792</v>
      </c>
    </row>
    <row r="17" spans="1:16" x14ac:dyDescent="0.25">
      <c r="A17" s="123"/>
      <c r="B17" s="225" t="s">
        <v>10</v>
      </c>
      <c r="C17" s="153"/>
      <c r="D17" s="151"/>
      <c r="E17" s="153" t="s">
        <v>398</v>
      </c>
      <c r="F17" s="117"/>
      <c r="G17" s="117"/>
      <c r="H17" s="118"/>
      <c r="J17" s="179"/>
      <c r="K17" s="188" t="s">
        <v>21</v>
      </c>
      <c r="L17" s="214">
        <v>14137</v>
      </c>
      <c r="M17" s="181">
        <f t="shared" si="1"/>
        <v>0.87</v>
      </c>
      <c r="N17" s="181">
        <f>D40</f>
        <v>0.63700000000000001</v>
      </c>
      <c r="O17" s="252">
        <f t="shared" si="2"/>
        <v>7834.5840300000009</v>
      </c>
    </row>
    <row r="18" spans="1:16" x14ac:dyDescent="0.25">
      <c r="A18" s="123"/>
      <c r="B18" s="117"/>
      <c r="C18" s="117"/>
      <c r="D18" s="117"/>
      <c r="E18" s="117"/>
      <c r="F18" s="117"/>
      <c r="G18" s="117"/>
      <c r="H18" s="118"/>
      <c r="J18" s="195" t="s">
        <v>149</v>
      </c>
      <c r="K18" s="207" t="s">
        <v>24</v>
      </c>
      <c r="L18" s="277">
        <v>38695</v>
      </c>
      <c r="M18" s="174">
        <f t="shared" si="1"/>
        <v>0.87</v>
      </c>
      <c r="N18" s="174">
        <f>E39</f>
        <v>0.19800000000000001</v>
      </c>
      <c r="O18" s="265">
        <f t="shared" si="2"/>
        <v>6665.6007000000009</v>
      </c>
    </row>
    <row r="19" spans="1:16" x14ac:dyDescent="0.25">
      <c r="A19" s="123"/>
      <c r="B19" s="128" t="s">
        <v>349</v>
      </c>
      <c r="C19" s="136"/>
      <c r="D19" s="145"/>
      <c r="E19" s="117"/>
      <c r="F19" s="117"/>
      <c r="G19" s="117"/>
      <c r="H19" s="118"/>
      <c r="J19" s="179"/>
      <c r="K19" s="188" t="s">
        <v>21</v>
      </c>
      <c r="L19" s="214">
        <v>13327</v>
      </c>
      <c r="M19" s="181">
        <f t="shared" si="1"/>
        <v>0.87</v>
      </c>
      <c r="N19" s="181">
        <f>E40</f>
        <v>0.52800000000000002</v>
      </c>
      <c r="O19" s="252">
        <f t="shared" si="2"/>
        <v>6121.8907200000003</v>
      </c>
    </row>
    <row r="20" spans="1:16" x14ac:dyDescent="0.25">
      <c r="A20" s="123"/>
      <c r="B20" s="132" t="s">
        <v>147</v>
      </c>
      <c r="C20" s="141" t="s">
        <v>399</v>
      </c>
      <c r="D20" s="146" t="s">
        <v>104</v>
      </c>
      <c r="E20" s="117"/>
      <c r="F20" s="117"/>
      <c r="G20" s="117"/>
      <c r="H20" s="118"/>
      <c r="J20" s="4"/>
      <c r="K20" s="4"/>
      <c r="L20" s="4"/>
      <c r="M20" s="4"/>
      <c r="N20" s="4"/>
      <c r="O20" s="252">
        <f>SUM(O14:O19)</f>
        <v>33217.253370000006</v>
      </c>
      <c r="P20" t="s">
        <v>408</v>
      </c>
    </row>
    <row r="21" spans="1:16" x14ac:dyDescent="0.25">
      <c r="A21" s="123"/>
      <c r="B21" s="128" t="s">
        <v>254</v>
      </c>
      <c r="C21" s="136" t="s">
        <v>24</v>
      </c>
      <c r="D21" s="272">
        <v>32160</v>
      </c>
      <c r="E21" s="117"/>
      <c r="F21" s="117"/>
      <c r="G21" s="117"/>
      <c r="H21" s="118"/>
    </row>
    <row r="22" spans="1:16" x14ac:dyDescent="0.25">
      <c r="A22" s="123"/>
      <c r="B22" s="132"/>
      <c r="C22" s="141" t="s">
        <v>21</v>
      </c>
      <c r="D22" s="229">
        <v>6679</v>
      </c>
      <c r="E22" s="117"/>
      <c r="F22" s="117"/>
      <c r="G22" s="117"/>
      <c r="H22" s="118"/>
      <c r="J22" t="s">
        <v>409</v>
      </c>
    </row>
    <row r="23" spans="1:16" x14ac:dyDescent="0.25">
      <c r="A23" s="123"/>
      <c r="B23" s="128" t="s">
        <v>148</v>
      </c>
      <c r="C23" s="136" t="s">
        <v>24</v>
      </c>
      <c r="D23" s="272">
        <v>42832</v>
      </c>
      <c r="E23" s="117"/>
      <c r="F23" s="117"/>
      <c r="G23" s="117"/>
      <c r="H23" s="118"/>
      <c r="J23" t="s">
        <v>377</v>
      </c>
      <c r="L23" s="278">
        <f>K8*D27-O20</f>
        <v>112417.03633588234</v>
      </c>
    </row>
    <row r="24" spans="1:16" x14ac:dyDescent="0.25">
      <c r="A24" s="123"/>
      <c r="B24" s="132"/>
      <c r="C24" s="141" t="s">
        <v>21</v>
      </c>
      <c r="D24" s="229">
        <v>14137</v>
      </c>
      <c r="E24" s="117"/>
      <c r="F24" s="117"/>
      <c r="G24" s="117"/>
      <c r="H24" s="118"/>
    </row>
    <row r="25" spans="1:16" x14ac:dyDescent="0.25">
      <c r="A25" s="123"/>
      <c r="B25" s="128" t="s">
        <v>149</v>
      </c>
      <c r="C25" s="136" t="s">
        <v>24</v>
      </c>
      <c r="D25" s="272">
        <v>38695</v>
      </c>
      <c r="E25" s="117"/>
      <c r="F25" s="117"/>
      <c r="G25" s="117"/>
      <c r="H25" s="118"/>
      <c r="J25" t="s">
        <v>410</v>
      </c>
      <c r="L25" s="280">
        <f>L23-SUM(E15:E16)</f>
        <v>9699.0363358823379</v>
      </c>
    </row>
    <row r="26" spans="1:16" x14ac:dyDescent="0.25">
      <c r="A26" s="123"/>
      <c r="B26" s="132"/>
      <c r="C26" s="141" t="s">
        <v>21</v>
      </c>
      <c r="D26" s="229">
        <v>13327</v>
      </c>
      <c r="E26" s="117"/>
      <c r="F26" s="117"/>
      <c r="G26" s="117"/>
      <c r="H26" s="118"/>
    </row>
    <row r="27" spans="1:16" x14ac:dyDescent="0.25">
      <c r="A27" s="123"/>
      <c r="B27" s="132" t="s">
        <v>10</v>
      </c>
      <c r="C27" s="154"/>
      <c r="D27" s="229">
        <f>SUM(D21:D26)</f>
        <v>147830</v>
      </c>
      <c r="E27" s="117"/>
      <c r="F27" s="117"/>
      <c r="G27" s="117"/>
      <c r="H27" s="118"/>
    </row>
    <row r="28" spans="1:16" x14ac:dyDescent="0.25">
      <c r="A28" s="123"/>
      <c r="B28" s="117"/>
      <c r="C28" s="117"/>
      <c r="D28" s="117"/>
      <c r="E28" s="117"/>
      <c r="F28" s="117"/>
      <c r="G28" s="117"/>
      <c r="H28" s="118"/>
    </row>
    <row r="29" spans="1:16" x14ac:dyDescent="0.25">
      <c r="A29" s="123"/>
      <c r="B29" s="230" t="s">
        <v>266</v>
      </c>
      <c r="C29" s="230"/>
      <c r="D29" s="117"/>
      <c r="E29" s="117"/>
      <c r="F29" s="117"/>
      <c r="G29" s="117"/>
      <c r="H29" s="118"/>
    </row>
    <row r="30" spans="1:16" x14ac:dyDescent="0.25">
      <c r="A30" s="123"/>
      <c r="B30" s="225" t="s">
        <v>363</v>
      </c>
      <c r="C30" s="152" t="s">
        <v>364</v>
      </c>
      <c r="D30" s="151" t="s">
        <v>11</v>
      </c>
      <c r="E30" s="151" t="s">
        <v>99</v>
      </c>
      <c r="F30" s="153" t="s">
        <v>100</v>
      </c>
      <c r="G30" s="117"/>
      <c r="H30" s="118"/>
    </row>
    <row r="31" spans="1:16" x14ac:dyDescent="0.25">
      <c r="A31" s="123"/>
      <c r="B31" s="273">
        <v>138763</v>
      </c>
      <c r="C31" s="268">
        <v>145183</v>
      </c>
      <c r="D31" s="140">
        <v>0.33</v>
      </c>
      <c r="E31" s="140">
        <v>0.86599999999999999</v>
      </c>
      <c r="F31" s="228">
        <v>109200</v>
      </c>
      <c r="G31" s="117"/>
      <c r="H31" s="118"/>
    </row>
    <row r="32" spans="1:16" x14ac:dyDescent="0.25">
      <c r="A32" s="123"/>
      <c r="B32" s="273">
        <v>145184</v>
      </c>
      <c r="C32" s="268">
        <v>151800</v>
      </c>
      <c r="D32" s="140">
        <v>0.34</v>
      </c>
      <c r="E32" s="231">
        <v>0.87</v>
      </c>
      <c r="F32" s="228">
        <v>111400</v>
      </c>
      <c r="G32" s="117"/>
      <c r="H32" s="118"/>
    </row>
    <row r="33" spans="1:8" x14ac:dyDescent="0.25">
      <c r="A33" s="123"/>
      <c r="B33" s="273">
        <v>151801</v>
      </c>
      <c r="C33" s="268">
        <v>158621</v>
      </c>
      <c r="D33" s="140">
        <v>0.35</v>
      </c>
      <c r="E33" s="140">
        <v>0.874</v>
      </c>
      <c r="F33" s="228">
        <v>113700</v>
      </c>
      <c r="G33" s="117"/>
      <c r="H33" s="118"/>
    </row>
    <row r="34" spans="1:8" x14ac:dyDescent="0.25">
      <c r="A34" s="123"/>
      <c r="B34" s="273">
        <v>158622</v>
      </c>
      <c r="C34" s="268">
        <v>165658</v>
      </c>
      <c r="D34" s="140">
        <v>0.36</v>
      </c>
      <c r="E34" s="140">
        <v>0.878</v>
      </c>
      <c r="F34" s="228">
        <v>116050</v>
      </c>
      <c r="G34" s="117"/>
      <c r="H34" s="118"/>
    </row>
    <row r="35" spans="1:8" x14ac:dyDescent="0.25">
      <c r="A35" s="123"/>
      <c r="B35" s="274">
        <v>165659</v>
      </c>
      <c r="C35" s="275">
        <v>172920</v>
      </c>
      <c r="D35" s="141">
        <v>0.37</v>
      </c>
      <c r="E35" s="141">
        <v>0.88200000000000001</v>
      </c>
      <c r="F35" s="229">
        <v>118450</v>
      </c>
      <c r="G35" s="117"/>
      <c r="H35" s="118"/>
    </row>
    <row r="36" spans="1:8" x14ac:dyDescent="0.25">
      <c r="A36" s="123"/>
      <c r="B36" s="117"/>
      <c r="C36" s="117"/>
      <c r="D36" s="117"/>
      <c r="E36" s="117"/>
      <c r="F36" s="117"/>
      <c r="G36" s="117"/>
      <c r="H36" s="118"/>
    </row>
    <row r="37" spans="1:8" x14ac:dyDescent="0.25">
      <c r="A37" s="123"/>
      <c r="B37" s="276" t="s">
        <v>400</v>
      </c>
      <c r="C37" s="117"/>
      <c r="D37" s="117"/>
      <c r="E37" s="117"/>
      <c r="F37" s="117"/>
      <c r="G37" s="117"/>
      <c r="H37" s="118"/>
    </row>
    <row r="38" spans="1:8" x14ac:dyDescent="0.25">
      <c r="A38" s="123"/>
      <c r="B38" s="225" t="s">
        <v>399</v>
      </c>
      <c r="C38" s="151" t="s">
        <v>254</v>
      </c>
      <c r="D38" s="151" t="s">
        <v>148</v>
      </c>
      <c r="E38" s="153" t="s">
        <v>149</v>
      </c>
      <c r="F38" s="117"/>
      <c r="G38" s="117"/>
      <c r="H38" s="118"/>
    </row>
    <row r="39" spans="1:8" x14ac:dyDescent="0.25">
      <c r="A39" s="123"/>
      <c r="B39" s="147" t="s">
        <v>24</v>
      </c>
      <c r="C39" s="140">
        <v>0.51900000000000002</v>
      </c>
      <c r="D39" s="140">
        <v>0.33800000000000002</v>
      </c>
      <c r="E39" s="148">
        <v>0.19800000000000001</v>
      </c>
      <c r="F39" s="117"/>
      <c r="G39" s="117"/>
      <c r="H39" s="118"/>
    </row>
    <row r="40" spans="1:8" x14ac:dyDescent="0.25">
      <c r="A40" s="123"/>
      <c r="B40" s="132" t="s">
        <v>21</v>
      </c>
      <c r="C40" s="141">
        <v>0.76600000000000001</v>
      </c>
      <c r="D40" s="141">
        <v>0.63700000000000001</v>
      </c>
      <c r="E40" s="146">
        <v>0.52800000000000002</v>
      </c>
      <c r="F40" s="117"/>
      <c r="G40" s="117"/>
      <c r="H40" s="118"/>
    </row>
    <row r="41" spans="1:8" x14ac:dyDescent="0.25">
      <c r="A41" s="123"/>
      <c r="B41" s="117"/>
      <c r="C41" s="117"/>
      <c r="D41" s="117"/>
      <c r="E41" s="117"/>
      <c r="F41" s="117"/>
      <c r="G41" s="117"/>
      <c r="H41" s="118"/>
    </row>
    <row r="42" spans="1:8" ht="15.75" thickBot="1" x14ac:dyDescent="0.3">
      <c r="A42" s="266" t="s">
        <v>7</v>
      </c>
      <c r="B42" s="166" t="s">
        <v>402</v>
      </c>
      <c r="C42" s="166"/>
      <c r="D42" s="166"/>
      <c r="E42" s="166"/>
      <c r="F42" s="166"/>
      <c r="G42" s="166"/>
      <c r="H42" s="167"/>
    </row>
  </sheetData>
  <mergeCells count="1">
    <mergeCell ref="G1:H1"/>
  </mergeCells>
  <hyperlinks>
    <hyperlink ref="G1" location="TOC!A1" display="Return to TOC" xr:uid="{C40D4F98-6F45-40A4-BE4A-5CF4E3D571C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6B7E-BCBC-4316-B66D-9D2B44D297FB}">
  <sheetPr codeName="Sheet11"/>
  <dimension ref="A1:P32"/>
  <sheetViews>
    <sheetView workbookViewId="0"/>
  </sheetViews>
  <sheetFormatPr defaultRowHeight="15" x14ac:dyDescent="0.25"/>
  <cols>
    <col min="1" max="1" width="13.5703125" bestFit="1" customWidth="1"/>
    <col min="2" max="2" width="9.85546875" customWidth="1"/>
    <col min="4" max="4" width="10" bestFit="1" customWidth="1"/>
    <col min="5" max="5" width="10.5703125" bestFit="1" customWidth="1"/>
    <col min="6" max="6" width="17.7109375" bestFit="1" customWidth="1"/>
    <col min="8" max="8" width="9.7109375" bestFit="1" customWidth="1"/>
    <col min="9" max="9" width="9.28515625" bestFit="1" customWidth="1"/>
    <col min="10" max="10" width="4.140625" customWidth="1"/>
    <col min="11" max="11" width="2.7109375" customWidth="1"/>
    <col min="12" max="12" width="11.140625" customWidth="1"/>
    <col min="13" max="13" width="10" bestFit="1" customWidth="1"/>
    <col min="15" max="15" width="10.5703125" bestFit="1" customWidth="1"/>
  </cols>
  <sheetData>
    <row r="1" spans="1:14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169"/>
      <c r="I1" s="301" t="s">
        <v>8</v>
      </c>
      <c r="J1" s="302"/>
      <c r="L1" s="6" t="s">
        <v>9</v>
      </c>
    </row>
    <row r="2" spans="1:14" x14ac:dyDescent="0.25">
      <c r="A2" s="116" t="s">
        <v>4</v>
      </c>
      <c r="B2" s="117" t="s">
        <v>411</v>
      </c>
      <c r="C2" s="117"/>
      <c r="D2" s="117"/>
      <c r="E2" s="117"/>
      <c r="F2" s="117"/>
      <c r="G2" s="117"/>
      <c r="H2" s="117"/>
      <c r="I2" s="117"/>
      <c r="J2" s="118"/>
      <c r="L2" t="s">
        <v>235</v>
      </c>
    </row>
    <row r="3" spans="1:14" x14ac:dyDescent="0.25">
      <c r="A3" s="116" t="s">
        <v>5</v>
      </c>
      <c r="B3" s="117" t="s">
        <v>412</v>
      </c>
      <c r="C3" s="117"/>
      <c r="D3" s="117"/>
      <c r="E3" s="117"/>
      <c r="F3" s="117"/>
      <c r="G3" s="117"/>
      <c r="H3" s="117"/>
      <c r="I3" s="117"/>
      <c r="J3" s="118"/>
    </row>
    <row r="4" spans="1:14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  <c r="L4" t="s">
        <v>428</v>
      </c>
    </row>
    <row r="5" spans="1:14" x14ac:dyDescent="0.25">
      <c r="A5" s="122" t="s">
        <v>6</v>
      </c>
      <c r="B5" s="117" t="s">
        <v>415</v>
      </c>
      <c r="C5" s="117"/>
      <c r="D5" s="117"/>
      <c r="E5" s="117"/>
      <c r="F5" s="117"/>
      <c r="G5" s="117"/>
      <c r="H5" s="117"/>
      <c r="I5" s="117"/>
      <c r="J5" s="118"/>
      <c r="L5" t="s">
        <v>429</v>
      </c>
    </row>
    <row r="6" spans="1:14" x14ac:dyDescent="0.25">
      <c r="A6" s="123"/>
      <c r="B6" s="117" t="s">
        <v>416</v>
      </c>
      <c r="C6" s="117"/>
      <c r="D6" s="117"/>
      <c r="E6" s="117"/>
      <c r="F6" s="117"/>
      <c r="G6" s="117"/>
      <c r="H6" s="117"/>
      <c r="I6" s="117"/>
      <c r="J6" s="118"/>
    </row>
    <row r="7" spans="1:14" x14ac:dyDescent="0.25">
      <c r="A7" s="123"/>
      <c r="B7" s="117"/>
      <c r="C7" s="117"/>
      <c r="D7" s="117"/>
      <c r="E7" s="117"/>
      <c r="F7" s="117"/>
      <c r="G7" s="117"/>
      <c r="H7" s="117"/>
      <c r="I7" s="117"/>
      <c r="J7" s="118"/>
      <c r="L7" t="s">
        <v>430</v>
      </c>
    </row>
    <row r="8" spans="1:14" x14ac:dyDescent="0.25">
      <c r="A8" s="123"/>
      <c r="B8" s="117" t="s">
        <v>417</v>
      </c>
      <c r="C8" s="117"/>
      <c r="D8" s="117"/>
      <c r="E8" s="117"/>
      <c r="F8" s="117"/>
      <c r="G8" s="117"/>
      <c r="H8" s="117"/>
      <c r="I8" s="117"/>
      <c r="J8" s="118"/>
    </row>
    <row r="9" spans="1:14" x14ac:dyDescent="0.25">
      <c r="A9" s="123"/>
      <c r="B9" s="117" t="s">
        <v>418</v>
      </c>
      <c r="C9" s="117"/>
      <c r="D9" s="117"/>
      <c r="E9" s="117"/>
      <c r="F9" s="117"/>
      <c r="G9" s="117"/>
      <c r="H9" s="117"/>
      <c r="I9" s="117"/>
      <c r="J9" s="118"/>
      <c r="L9" t="s">
        <v>431</v>
      </c>
      <c r="M9" s="172">
        <f>SUM(C15:C17)</f>
        <v>123200</v>
      </c>
    </row>
    <row r="10" spans="1:14" x14ac:dyDescent="0.25">
      <c r="A10" s="123"/>
      <c r="B10" s="117"/>
      <c r="C10" s="117"/>
      <c r="D10" s="117"/>
      <c r="E10" s="117"/>
      <c r="F10" s="117"/>
      <c r="G10" s="117"/>
      <c r="H10" s="117"/>
      <c r="I10" s="117"/>
      <c r="J10" s="118"/>
    </row>
    <row r="11" spans="1:14" x14ac:dyDescent="0.25">
      <c r="A11" s="123"/>
      <c r="B11" s="128" t="s">
        <v>349</v>
      </c>
      <c r="C11" s="136" t="s">
        <v>421</v>
      </c>
      <c r="D11" s="117"/>
      <c r="E11" s="128"/>
      <c r="F11" s="136" t="s">
        <v>424</v>
      </c>
      <c r="G11" s="145"/>
      <c r="H11" s="150"/>
      <c r="I11" s="117"/>
      <c r="J11" s="118"/>
      <c r="L11" t="s">
        <v>432</v>
      </c>
    </row>
    <row r="12" spans="1:14" x14ac:dyDescent="0.25">
      <c r="A12" s="123"/>
      <c r="B12" s="147" t="s">
        <v>419</v>
      </c>
      <c r="C12" s="140" t="s">
        <v>422</v>
      </c>
      <c r="D12" s="117"/>
      <c r="E12" s="132" t="s">
        <v>423</v>
      </c>
      <c r="F12" s="141" t="s">
        <v>425</v>
      </c>
      <c r="G12" s="146" t="s">
        <v>102</v>
      </c>
      <c r="H12" s="150"/>
      <c r="I12" s="117"/>
      <c r="J12" s="118"/>
      <c r="L12" s="198" t="s">
        <v>11</v>
      </c>
      <c r="M12" s="184" t="s">
        <v>99</v>
      </c>
      <c r="N12" s="185" t="s">
        <v>100</v>
      </c>
    </row>
    <row r="13" spans="1:14" x14ac:dyDescent="0.25">
      <c r="A13" s="123"/>
      <c r="B13" s="132" t="s">
        <v>420</v>
      </c>
      <c r="C13" s="141" t="s">
        <v>126</v>
      </c>
      <c r="D13" s="117"/>
      <c r="E13" s="285">
        <v>41476</v>
      </c>
      <c r="F13" s="287">
        <v>2000</v>
      </c>
      <c r="G13" s="272">
        <v>0</v>
      </c>
      <c r="H13" s="268"/>
      <c r="I13" s="117"/>
      <c r="J13" s="118"/>
      <c r="L13" s="179">
        <f>D30</f>
        <v>0.3</v>
      </c>
      <c r="M13" s="181">
        <f>E30</f>
        <v>0.88300000000000001</v>
      </c>
      <c r="N13" s="197">
        <f>F30</f>
        <v>114850</v>
      </c>
    </row>
    <row r="14" spans="1:14" x14ac:dyDescent="0.25">
      <c r="A14" s="123"/>
      <c r="B14" s="285">
        <v>41275</v>
      </c>
      <c r="C14" s="287">
        <v>35700</v>
      </c>
      <c r="D14" s="117"/>
      <c r="E14" s="269">
        <v>41159</v>
      </c>
      <c r="F14" s="226">
        <v>10000</v>
      </c>
      <c r="G14" s="228">
        <v>0</v>
      </c>
      <c r="H14" s="268"/>
      <c r="I14" s="117"/>
      <c r="J14" s="118"/>
    </row>
    <row r="15" spans="1:14" x14ac:dyDescent="0.25">
      <c r="A15" s="123"/>
      <c r="B15" s="269">
        <v>40909</v>
      </c>
      <c r="C15" s="226">
        <v>50300</v>
      </c>
      <c r="D15" s="117"/>
      <c r="E15" s="269">
        <v>40634</v>
      </c>
      <c r="F15" s="226">
        <v>100000</v>
      </c>
      <c r="G15" s="228">
        <v>20000</v>
      </c>
      <c r="H15" s="268"/>
      <c r="I15" s="117"/>
      <c r="J15" s="118"/>
      <c r="L15" t="s">
        <v>433</v>
      </c>
    </row>
    <row r="16" spans="1:14" x14ac:dyDescent="0.25">
      <c r="A16" s="123"/>
      <c r="B16" s="269">
        <v>40544</v>
      </c>
      <c r="C16" s="226">
        <v>40300</v>
      </c>
      <c r="D16" s="117"/>
      <c r="E16" s="269">
        <v>40495</v>
      </c>
      <c r="F16" s="226">
        <v>40000</v>
      </c>
      <c r="G16" s="228">
        <v>0</v>
      </c>
      <c r="H16" s="268"/>
      <c r="I16" s="117"/>
      <c r="J16" s="118"/>
      <c r="L16" t="s">
        <v>234</v>
      </c>
      <c r="M16" s="290">
        <f>B20/L13*M13+M13</f>
        <v>2.1868966666666667</v>
      </c>
    </row>
    <row r="17" spans="1:16" x14ac:dyDescent="0.25">
      <c r="A17" s="123"/>
      <c r="B17" s="269">
        <v>40179</v>
      </c>
      <c r="C17" s="226">
        <v>32600</v>
      </c>
      <c r="D17" s="117"/>
      <c r="E17" s="269">
        <v>40223</v>
      </c>
      <c r="F17" s="226">
        <v>70000</v>
      </c>
      <c r="G17" s="228">
        <v>0</v>
      </c>
      <c r="H17" s="268"/>
      <c r="I17" s="117"/>
      <c r="J17" s="118"/>
    </row>
    <row r="18" spans="1:16" x14ac:dyDescent="0.25">
      <c r="A18" s="123"/>
      <c r="B18" s="286">
        <v>39814</v>
      </c>
      <c r="C18" s="227">
        <v>22500</v>
      </c>
      <c r="D18" s="117"/>
      <c r="E18" s="286">
        <v>39938</v>
      </c>
      <c r="F18" s="227">
        <v>12000</v>
      </c>
      <c r="G18" s="229">
        <v>0</v>
      </c>
      <c r="H18" s="268"/>
      <c r="I18" s="117"/>
      <c r="J18" s="118"/>
      <c r="L18" t="s">
        <v>231</v>
      </c>
    </row>
    <row r="19" spans="1:16" x14ac:dyDescent="0.25">
      <c r="A19" s="123"/>
      <c r="B19" s="117"/>
      <c r="C19" s="117"/>
      <c r="D19" s="117"/>
      <c r="E19" s="117"/>
      <c r="F19" s="117"/>
      <c r="G19" s="117"/>
      <c r="H19" s="117"/>
      <c r="I19" s="117"/>
      <c r="J19" s="118"/>
    </row>
    <row r="20" spans="1:16" x14ac:dyDescent="0.25">
      <c r="A20" s="123"/>
      <c r="B20" s="288">
        <v>0.443</v>
      </c>
      <c r="C20" s="125" t="s">
        <v>426</v>
      </c>
      <c r="D20" s="125"/>
      <c r="E20" s="125"/>
      <c r="F20" s="126"/>
      <c r="G20" s="117"/>
      <c r="H20" s="117"/>
      <c r="I20" s="117"/>
      <c r="J20" s="118"/>
      <c r="L20" t="s">
        <v>434</v>
      </c>
    </row>
    <row r="21" spans="1:16" x14ac:dyDescent="0.25">
      <c r="A21" s="123"/>
      <c r="B21" s="117"/>
      <c r="C21" s="117"/>
      <c r="D21" s="117"/>
      <c r="E21" s="117"/>
      <c r="F21" s="117"/>
      <c r="G21" s="117"/>
      <c r="H21" s="117"/>
      <c r="I21" s="117"/>
      <c r="J21" s="118"/>
      <c r="L21" t="s">
        <v>435</v>
      </c>
    </row>
    <row r="22" spans="1:16" x14ac:dyDescent="0.25">
      <c r="A22" s="116" t="s">
        <v>7</v>
      </c>
      <c r="B22" s="117" t="s">
        <v>427</v>
      </c>
      <c r="C22" s="117"/>
      <c r="D22" s="117"/>
      <c r="E22" s="117"/>
      <c r="F22" s="117"/>
      <c r="G22" s="117"/>
      <c r="H22" s="117"/>
      <c r="I22" s="117"/>
      <c r="J22" s="118"/>
    </row>
    <row r="23" spans="1:16" x14ac:dyDescent="0.25">
      <c r="A23" s="116"/>
      <c r="B23" s="117"/>
      <c r="C23" s="117"/>
      <c r="D23" s="117"/>
      <c r="E23" s="117"/>
      <c r="F23" s="117"/>
      <c r="G23" s="117"/>
      <c r="H23" s="117"/>
      <c r="I23" s="117"/>
      <c r="J23" s="118"/>
      <c r="L23" s="195"/>
      <c r="M23" s="207" t="s">
        <v>436</v>
      </c>
      <c r="N23" s="207" t="s">
        <v>437</v>
      </c>
      <c r="O23" s="175" t="s">
        <v>211</v>
      </c>
    </row>
    <row r="24" spans="1:16" x14ac:dyDescent="0.25">
      <c r="A24" s="123"/>
      <c r="B24" s="117" t="s">
        <v>263</v>
      </c>
      <c r="C24" s="117"/>
      <c r="D24" s="117"/>
      <c r="E24" s="117"/>
      <c r="F24" s="117"/>
      <c r="G24" s="117"/>
      <c r="H24" s="117"/>
      <c r="I24" s="117"/>
      <c r="J24" s="118"/>
      <c r="L24" s="179" t="s">
        <v>423</v>
      </c>
      <c r="M24" s="188" t="s">
        <v>152</v>
      </c>
      <c r="N24" s="188" t="s">
        <v>102</v>
      </c>
      <c r="O24" s="183" t="s">
        <v>100</v>
      </c>
    </row>
    <row r="25" spans="1:16" x14ac:dyDescent="0.25">
      <c r="A25" s="123"/>
      <c r="B25" s="117"/>
      <c r="C25" s="117"/>
      <c r="D25" s="117"/>
      <c r="E25" s="117"/>
      <c r="F25" s="117"/>
      <c r="G25" s="117"/>
      <c r="H25" s="117"/>
      <c r="I25" s="117"/>
      <c r="J25" s="118"/>
      <c r="L25" s="283">
        <f>E14</f>
        <v>41159</v>
      </c>
      <c r="M25" s="293">
        <f>F14</f>
        <v>10000</v>
      </c>
      <c r="N25" s="293">
        <f>M25+G14</f>
        <v>10000</v>
      </c>
      <c r="O25" s="291">
        <f>MIN(N25,$N$13)</f>
        <v>10000</v>
      </c>
    </row>
    <row r="26" spans="1:16" x14ac:dyDescent="0.25">
      <c r="A26" s="123"/>
      <c r="B26" s="289" t="s">
        <v>362</v>
      </c>
      <c r="C26" s="160"/>
      <c r="D26" s="117"/>
      <c r="E26" s="117"/>
      <c r="F26" s="117"/>
      <c r="G26" s="117"/>
      <c r="H26" s="117"/>
      <c r="I26" s="117"/>
      <c r="J26" s="118"/>
      <c r="L26" s="283">
        <f t="shared" ref="L26:M28" si="0">E15</f>
        <v>40634</v>
      </c>
      <c r="M26" s="293">
        <f t="shared" si="0"/>
        <v>100000</v>
      </c>
      <c r="N26" s="293">
        <f t="shared" ref="N26:N28" si="1">M26+G15</f>
        <v>120000</v>
      </c>
      <c r="O26" s="291">
        <f t="shared" ref="O26:O28" si="2">MIN(N26,$N$13)</f>
        <v>114850</v>
      </c>
    </row>
    <row r="27" spans="1:16" x14ac:dyDescent="0.25">
      <c r="A27" s="123"/>
      <c r="B27" s="225" t="s">
        <v>363</v>
      </c>
      <c r="C27" s="151" t="s">
        <v>364</v>
      </c>
      <c r="D27" s="152" t="s">
        <v>11</v>
      </c>
      <c r="E27" s="151" t="s">
        <v>99</v>
      </c>
      <c r="F27" s="153" t="s">
        <v>100</v>
      </c>
      <c r="G27" s="117"/>
      <c r="H27" s="117"/>
      <c r="I27" s="117"/>
      <c r="J27" s="118"/>
      <c r="L27" s="283">
        <f t="shared" si="0"/>
        <v>40495</v>
      </c>
      <c r="M27" s="293">
        <f t="shared" si="0"/>
        <v>40000</v>
      </c>
      <c r="N27" s="293">
        <f t="shared" si="1"/>
        <v>40000</v>
      </c>
      <c r="O27" s="291">
        <f t="shared" si="2"/>
        <v>40000</v>
      </c>
    </row>
    <row r="28" spans="1:16" x14ac:dyDescent="0.25">
      <c r="A28" s="123"/>
      <c r="B28" s="259">
        <v>109318</v>
      </c>
      <c r="C28" s="161">
        <v>114876</v>
      </c>
      <c r="D28" s="150">
        <v>0.28000000000000003</v>
      </c>
      <c r="E28" s="140">
        <v>0.874</v>
      </c>
      <c r="F28" s="260">
        <v>110300</v>
      </c>
      <c r="G28" s="117"/>
      <c r="H28" s="117"/>
      <c r="I28" s="117"/>
      <c r="J28" s="118"/>
      <c r="L28" s="284">
        <f t="shared" si="0"/>
        <v>40223</v>
      </c>
      <c r="M28" s="294">
        <f t="shared" si="0"/>
        <v>70000</v>
      </c>
      <c r="N28" s="294">
        <f t="shared" si="1"/>
        <v>70000</v>
      </c>
      <c r="O28" s="292">
        <f t="shared" si="2"/>
        <v>70000</v>
      </c>
    </row>
    <row r="29" spans="1:16" x14ac:dyDescent="0.25">
      <c r="A29" s="123"/>
      <c r="B29" s="259">
        <v>114877</v>
      </c>
      <c r="C29" s="161">
        <v>120594</v>
      </c>
      <c r="D29" s="150">
        <v>0.28999999999999998</v>
      </c>
      <c r="E29" s="140">
        <v>0.879</v>
      </c>
      <c r="F29" s="260">
        <v>112550</v>
      </c>
      <c r="G29" s="117"/>
      <c r="H29" s="117"/>
      <c r="I29" s="117"/>
      <c r="J29" s="118"/>
      <c r="L29" s="4"/>
      <c r="M29" s="4"/>
      <c r="N29" s="4"/>
      <c r="O29" s="295">
        <f>SUM(O25:O28)</f>
        <v>234850</v>
      </c>
      <c r="P29" t="s">
        <v>438</v>
      </c>
    </row>
    <row r="30" spans="1:16" x14ac:dyDescent="0.25">
      <c r="A30" s="123"/>
      <c r="B30" s="259">
        <v>120595</v>
      </c>
      <c r="C30" s="161">
        <v>126476</v>
      </c>
      <c r="D30" s="282">
        <v>0.3</v>
      </c>
      <c r="E30" s="140">
        <v>0.88300000000000001</v>
      </c>
      <c r="F30" s="260">
        <v>114850</v>
      </c>
      <c r="G30" s="117"/>
      <c r="H30" s="117"/>
      <c r="I30" s="117"/>
      <c r="J30" s="118"/>
    </row>
    <row r="31" spans="1:16" x14ac:dyDescent="0.25">
      <c r="A31" s="123"/>
      <c r="B31" s="261">
        <v>126477</v>
      </c>
      <c r="C31" s="163">
        <v>132529</v>
      </c>
      <c r="D31" s="154">
        <v>0.31</v>
      </c>
      <c r="E31" s="141">
        <v>0.88700000000000001</v>
      </c>
      <c r="F31" s="262">
        <v>117200</v>
      </c>
      <c r="G31" s="117"/>
      <c r="H31" s="117"/>
      <c r="I31" s="117"/>
      <c r="J31" s="118"/>
      <c r="L31" t="s">
        <v>439</v>
      </c>
    </row>
    <row r="32" spans="1:16" ht="15.75" thickBot="1" x14ac:dyDescent="0.3">
      <c r="A32" s="165"/>
      <c r="B32" s="166"/>
      <c r="C32" s="166"/>
      <c r="D32" s="166"/>
      <c r="E32" s="166"/>
      <c r="F32" s="166"/>
      <c r="G32" s="166"/>
      <c r="H32" s="166"/>
      <c r="I32" s="166"/>
      <c r="J32" s="167"/>
      <c r="L32" t="s">
        <v>440</v>
      </c>
      <c r="O32" s="279">
        <f>M16*M9-O29</f>
        <v>34575.669333333324</v>
      </c>
    </row>
  </sheetData>
  <mergeCells count="1">
    <mergeCell ref="I1:J1"/>
  </mergeCells>
  <hyperlinks>
    <hyperlink ref="I1" location="TOC!A1" display="Return to TOC" xr:uid="{5516BA95-8A11-4E20-94F8-275909B2096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0524-3043-48DA-919F-9A4B4FBB5FB5}">
  <sheetPr codeName="Sheet12"/>
  <dimension ref="A1:U52"/>
  <sheetViews>
    <sheetView workbookViewId="0"/>
  </sheetViews>
  <sheetFormatPr defaultRowHeight="15" x14ac:dyDescent="0.25"/>
  <cols>
    <col min="1" max="1" width="13.5703125" bestFit="1" customWidth="1"/>
    <col min="2" max="2" width="10.7109375" customWidth="1"/>
    <col min="3" max="3" width="11.140625" customWidth="1"/>
    <col min="4" max="4" width="10.7109375" bestFit="1" customWidth="1"/>
    <col min="5" max="5" width="15.28515625" customWidth="1"/>
    <col min="6" max="6" width="15.28515625" bestFit="1" customWidth="1"/>
    <col min="8" max="8" width="9.7109375" bestFit="1" customWidth="1"/>
    <col min="9" max="9" width="9.28515625" bestFit="1" customWidth="1"/>
    <col min="10" max="10" width="4.5703125" customWidth="1"/>
    <col min="11" max="11" width="2.7109375" customWidth="1"/>
    <col min="12" max="12" width="10.5703125" customWidth="1"/>
    <col min="13" max="13" width="11.5703125" customWidth="1"/>
    <col min="14" max="14" width="12" bestFit="1" customWidth="1"/>
    <col min="15" max="15" width="10.85546875" bestFit="1" customWidth="1"/>
  </cols>
  <sheetData>
    <row r="1" spans="1:21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169"/>
      <c r="I1" s="301" t="s">
        <v>8</v>
      </c>
      <c r="J1" s="302"/>
      <c r="L1" s="6" t="s">
        <v>9</v>
      </c>
    </row>
    <row r="2" spans="1:21" x14ac:dyDescent="0.25">
      <c r="A2" s="116" t="s">
        <v>4</v>
      </c>
      <c r="B2" s="117" t="s">
        <v>441</v>
      </c>
      <c r="C2" s="117"/>
      <c r="D2" s="117"/>
      <c r="E2" s="117"/>
      <c r="F2" s="117"/>
      <c r="G2" s="117"/>
      <c r="H2" s="117"/>
      <c r="I2" s="117"/>
      <c r="J2" s="118"/>
      <c r="L2" t="s">
        <v>453</v>
      </c>
    </row>
    <row r="3" spans="1:21" x14ac:dyDescent="0.25">
      <c r="A3" s="116" t="s">
        <v>5</v>
      </c>
      <c r="B3" s="117" t="s">
        <v>225</v>
      </c>
      <c r="C3" s="117"/>
      <c r="D3" s="117"/>
      <c r="E3" s="117"/>
      <c r="F3" s="117"/>
      <c r="G3" s="117"/>
      <c r="H3" s="117"/>
      <c r="I3" s="117"/>
      <c r="J3" s="118"/>
    </row>
    <row r="4" spans="1:2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1"/>
      <c r="L4" s="198" t="s">
        <v>171</v>
      </c>
      <c r="M4" s="189" t="s">
        <v>56</v>
      </c>
      <c r="N4" s="198" t="s">
        <v>57</v>
      </c>
      <c r="O4" s="185" t="s">
        <v>58</v>
      </c>
      <c r="P4" s="189" t="s">
        <v>59</v>
      </c>
      <c r="Q4" s="189" t="s">
        <v>10</v>
      </c>
      <c r="R4" s="184" t="s">
        <v>99</v>
      </c>
      <c r="S4" s="184" t="s">
        <v>105</v>
      </c>
      <c r="T4" s="189" t="s">
        <v>10</v>
      </c>
    </row>
    <row r="5" spans="1:21" x14ac:dyDescent="0.25">
      <c r="A5" s="122" t="s">
        <v>6</v>
      </c>
      <c r="B5" s="117" t="s">
        <v>442</v>
      </c>
      <c r="C5" s="117"/>
      <c r="D5" s="117"/>
      <c r="E5" s="117"/>
      <c r="F5" s="117"/>
      <c r="G5" s="117"/>
      <c r="H5" s="117"/>
      <c r="I5" s="117"/>
      <c r="J5" s="118"/>
      <c r="L5" s="176">
        <v>2012</v>
      </c>
      <c r="M5" s="215">
        <f>$B$22*$B$23</f>
        <v>640000</v>
      </c>
      <c r="N5" s="305">
        <f>$C$36</f>
        <v>1</v>
      </c>
      <c r="O5" s="306">
        <f>$C$37</f>
        <v>1</v>
      </c>
      <c r="P5" s="187">
        <f>C42</f>
        <v>0.88200000000000001</v>
      </c>
      <c r="Q5" s="251">
        <f>PRODUCT(M5:P5)</f>
        <v>564480</v>
      </c>
      <c r="R5" s="4">
        <f>$M$12</f>
        <v>0.996</v>
      </c>
      <c r="S5" s="4">
        <f>G41</f>
        <v>0.71799999999999997</v>
      </c>
      <c r="T5" s="251">
        <f>PRODUCT(Q5:S5)</f>
        <v>403675.45343999995</v>
      </c>
    </row>
    <row r="6" spans="1:21" x14ac:dyDescent="0.25">
      <c r="A6" s="123"/>
      <c r="B6" s="117" t="s">
        <v>443</v>
      </c>
      <c r="C6" s="117"/>
      <c r="D6" s="117"/>
      <c r="E6" s="117"/>
      <c r="F6" s="117"/>
      <c r="G6" s="117"/>
      <c r="H6" s="117"/>
      <c r="I6" s="117"/>
      <c r="J6" s="118"/>
      <c r="L6" s="176">
        <v>2011</v>
      </c>
      <c r="M6" s="215">
        <f>$B$22*$B$23</f>
        <v>640000</v>
      </c>
      <c r="N6" s="305">
        <f>$C$36</f>
        <v>1</v>
      </c>
      <c r="O6" s="306">
        <f>$C$37</f>
        <v>1</v>
      </c>
      <c r="P6" s="187">
        <f t="shared" ref="P6:P7" si="0">C43</f>
        <v>0.82799999999999996</v>
      </c>
      <c r="Q6" s="251">
        <f t="shared" ref="Q6:Q7" si="1">PRODUCT(M6:P6)</f>
        <v>529920</v>
      </c>
      <c r="R6" s="4">
        <f>$M$12</f>
        <v>0.996</v>
      </c>
      <c r="S6" s="236">
        <f>H41</f>
        <v>0.56000000000000005</v>
      </c>
      <c r="T6" s="251">
        <f t="shared" ref="T6:T7" si="2">PRODUCT(Q6:S6)</f>
        <v>295568.17920000001</v>
      </c>
    </row>
    <row r="7" spans="1:21" x14ac:dyDescent="0.25">
      <c r="A7" s="123"/>
      <c r="B7" s="117"/>
      <c r="C7" s="117"/>
      <c r="D7" s="117"/>
      <c r="E7" s="117"/>
      <c r="F7" s="117"/>
      <c r="G7" s="117"/>
      <c r="H7" s="117"/>
      <c r="I7" s="117"/>
      <c r="J7" s="118"/>
      <c r="L7" s="179">
        <v>2010</v>
      </c>
      <c r="M7" s="216">
        <f>$B$22*$B$23</f>
        <v>640000</v>
      </c>
      <c r="N7" s="196">
        <f>$C$36</f>
        <v>1</v>
      </c>
      <c r="O7" s="307">
        <f>$C$37</f>
        <v>1</v>
      </c>
      <c r="P7" s="188">
        <f t="shared" si="0"/>
        <v>0.77700000000000002</v>
      </c>
      <c r="Q7" s="252">
        <f t="shared" si="1"/>
        <v>497280</v>
      </c>
      <c r="R7" s="181">
        <f>$M$12</f>
        <v>0.996</v>
      </c>
      <c r="S7" s="181">
        <f>I41</f>
        <v>0.42499999999999999</v>
      </c>
      <c r="T7" s="252">
        <f t="shared" si="2"/>
        <v>210498.62400000001</v>
      </c>
    </row>
    <row r="8" spans="1:21" x14ac:dyDescent="0.25">
      <c r="A8" s="123"/>
      <c r="B8" s="129" t="s">
        <v>391</v>
      </c>
      <c r="C8" s="130"/>
      <c r="D8" s="136" t="s">
        <v>349</v>
      </c>
      <c r="E8" s="136" t="s">
        <v>444</v>
      </c>
      <c r="F8" s="145" t="s">
        <v>444</v>
      </c>
      <c r="G8" s="117"/>
      <c r="H8" s="117"/>
      <c r="I8" s="117"/>
      <c r="J8" s="118"/>
      <c r="L8" s="4"/>
      <c r="M8" s="4"/>
      <c r="N8" s="4"/>
      <c r="O8" s="4"/>
      <c r="P8" s="308" t="s">
        <v>176</v>
      </c>
      <c r="Q8" s="309">
        <f>SUM(Q5:Q7)</f>
        <v>1591680</v>
      </c>
      <c r="R8" s="4"/>
      <c r="S8" s="4"/>
      <c r="T8" s="309">
        <f>SUM(T5:T7)</f>
        <v>909742.25664000004</v>
      </c>
      <c r="U8" s="249" t="s">
        <v>370</v>
      </c>
    </row>
    <row r="9" spans="1:21" x14ac:dyDescent="0.25">
      <c r="A9" s="123"/>
      <c r="B9" s="132" t="s">
        <v>390</v>
      </c>
      <c r="C9" s="154" t="s">
        <v>392</v>
      </c>
      <c r="D9" s="141" t="s">
        <v>2</v>
      </c>
      <c r="E9" s="141" t="s">
        <v>445</v>
      </c>
      <c r="F9" s="146" t="s">
        <v>446</v>
      </c>
      <c r="G9" s="117"/>
      <c r="H9" s="117"/>
      <c r="I9" s="117"/>
      <c r="J9" s="118"/>
    </row>
    <row r="10" spans="1:21" x14ac:dyDescent="0.25">
      <c r="A10" s="123"/>
      <c r="B10" s="285">
        <v>40238</v>
      </c>
      <c r="C10" s="296">
        <v>40602</v>
      </c>
      <c r="D10" s="136" t="s">
        <v>23</v>
      </c>
      <c r="E10" s="287">
        <v>1500000</v>
      </c>
      <c r="F10" s="272">
        <v>600000</v>
      </c>
      <c r="G10" s="117"/>
      <c r="H10" s="117"/>
      <c r="I10" s="117"/>
      <c r="J10" s="118"/>
      <c r="L10" t="s">
        <v>454</v>
      </c>
    </row>
    <row r="11" spans="1:21" x14ac:dyDescent="0.25">
      <c r="A11" s="123"/>
      <c r="B11" s="269">
        <v>40603</v>
      </c>
      <c r="C11" s="267">
        <v>40968</v>
      </c>
      <c r="D11" s="140" t="s">
        <v>23</v>
      </c>
      <c r="E11" s="226">
        <v>400000</v>
      </c>
      <c r="F11" s="228">
        <v>400000</v>
      </c>
      <c r="G11" s="117"/>
      <c r="H11" s="117"/>
      <c r="I11" s="117"/>
      <c r="J11" s="118"/>
      <c r="L11" s="198" t="s">
        <v>11</v>
      </c>
      <c r="M11" s="184" t="s">
        <v>99</v>
      </c>
      <c r="N11" s="185" t="s">
        <v>100</v>
      </c>
    </row>
    <row r="12" spans="1:21" x14ac:dyDescent="0.25">
      <c r="A12" s="123"/>
      <c r="B12" s="269">
        <v>40969</v>
      </c>
      <c r="C12" s="267">
        <v>41333</v>
      </c>
      <c r="D12" s="140" t="s">
        <v>23</v>
      </c>
      <c r="E12" s="226">
        <v>350000</v>
      </c>
      <c r="F12" s="228">
        <v>2000000</v>
      </c>
      <c r="G12" s="117"/>
      <c r="H12" s="117"/>
      <c r="I12" s="117"/>
      <c r="J12" s="118"/>
      <c r="L12" s="196">
        <f>D50</f>
        <v>0.85</v>
      </c>
      <c r="M12" s="181">
        <f t="shared" ref="M12:N12" si="3">E50</f>
        <v>0.996</v>
      </c>
      <c r="N12" s="197">
        <f t="shared" si="3"/>
        <v>552350</v>
      </c>
    </row>
    <row r="13" spans="1:21" x14ac:dyDescent="0.25">
      <c r="A13" s="123"/>
      <c r="B13" s="286">
        <v>41334</v>
      </c>
      <c r="C13" s="297">
        <v>41698</v>
      </c>
      <c r="D13" s="141" t="s">
        <v>23</v>
      </c>
      <c r="E13" s="227">
        <v>150000</v>
      </c>
      <c r="F13" s="229">
        <v>20000</v>
      </c>
      <c r="G13" s="117"/>
      <c r="H13" s="117"/>
      <c r="I13" s="117"/>
      <c r="J13" s="118"/>
    </row>
    <row r="14" spans="1:21" x14ac:dyDescent="0.25">
      <c r="A14" s="123"/>
      <c r="B14" s="117"/>
      <c r="C14" s="117"/>
      <c r="D14" s="117"/>
      <c r="E14" s="117"/>
      <c r="F14" s="117"/>
      <c r="G14" s="117"/>
      <c r="H14" s="117"/>
      <c r="I14" s="117"/>
      <c r="J14" s="118"/>
      <c r="L14" t="s">
        <v>455</v>
      </c>
    </row>
    <row r="15" spans="1:21" x14ac:dyDescent="0.25">
      <c r="A15" s="123"/>
      <c r="B15" s="117" t="s">
        <v>447</v>
      </c>
      <c r="C15" s="117"/>
      <c r="D15" s="117"/>
      <c r="E15" s="117"/>
      <c r="F15" s="117"/>
      <c r="G15" s="117"/>
      <c r="H15" s="117"/>
      <c r="I15" s="117"/>
      <c r="J15" s="118"/>
    </row>
    <row r="16" spans="1:21" x14ac:dyDescent="0.25">
      <c r="A16" s="123"/>
      <c r="B16" s="117"/>
      <c r="C16" s="117"/>
      <c r="D16" s="117"/>
      <c r="E16" s="117"/>
      <c r="F16" s="117"/>
      <c r="G16" s="117"/>
      <c r="H16" s="117"/>
      <c r="I16" s="117"/>
      <c r="J16" s="118"/>
      <c r="L16" t="s">
        <v>458</v>
      </c>
    </row>
    <row r="17" spans="1:15" x14ac:dyDescent="0.25">
      <c r="A17" s="123"/>
      <c r="B17" s="117"/>
      <c r="C17" s="117"/>
      <c r="D17" s="225" t="s">
        <v>423</v>
      </c>
      <c r="E17" s="151" t="s">
        <v>445</v>
      </c>
      <c r="F17" s="153" t="s">
        <v>446</v>
      </c>
      <c r="G17" s="117"/>
      <c r="H17" s="117"/>
      <c r="I17" s="117"/>
      <c r="J17" s="118"/>
      <c r="L17" t="s">
        <v>457</v>
      </c>
    </row>
    <row r="18" spans="1:15" x14ac:dyDescent="0.25">
      <c r="A18" s="123"/>
      <c r="B18" s="117"/>
      <c r="C18" s="117"/>
      <c r="D18" s="269">
        <v>40359</v>
      </c>
      <c r="E18" s="226">
        <v>700000</v>
      </c>
      <c r="F18" s="228">
        <v>500000</v>
      </c>
      <c r="G18" s="117"/>
      <c r="H18" s="117"/>
      <c r="I18" s="117"/>
      <c r="J18" s="118"/>
      <c r="L18" t="s">
        <v>456</v>
      </c>
    </row>
    <row r="19" spans="1:15" x14ac:dyDescent="0.25">
      <c r="A19" s="123"/>
      <c r="B19" s="117"/>
      <c r="C19" s="117"/>
      <c r="D19" s="269">
        <v>40908</v>
      </c>
      <c r="E19" s="226">
        <v>150000</v>
      </c>
      <c r="F19" s="228">
        <v>200000</v>
      </c>
      <c r="G19" s="117"/>
      <c r="H19" s="117"/>
      <c r="I19" s="117"/>
      <c r="J19" s="118"/>
    </row>
    <row r="20" spans="1:15" x14ac:dyDescent="0.25">
      <c r="A20" s="123"/>
      <c r="B20" s="117"/>
      <c r="C20" s="117"/>
      <c r="D20" s="286">
        <v>41004</v>
      </c>
      <c r="E20" s="227">
        <v>55000</v>
      </c>
      <c r="F20" s="229">
        <v>60000</v>
      </c>
      <c r="G20" s="117"/>
      <c r="H20" s="117"/>
      <c r="I20" s="117"/>
      <c r="J20" s="118"/>
      <c r="L20" s="310" t="s">
        <v>459</v>
      </c>
    </row>
    <row r="21" spans="1:15" x14ac:dyDescent="0.25">
      <c r="A21" s="123"/>
      <c r="B21" s="117"/>
      <c r="C21" s="117"/>
      <c r="D21" s="117"/>
      <c r="E21" s="117"/>
      <c r="F21" s="117"/>
      <c r="G21" s="117"/>
      <c r="H21" s="117"/>
      <c r="I21" s="117"/>
      <c r="J21" s="118"/>
      <c r="L21" s="195"/>
      <c r="M21" s="207" t="s">
        <v>211</v>
      </c>
      <c r="N21" s="207" t="s">
        <v>210</v>
      </c>
      <c r="O21" s="175" t="s">
        <v>273</v>
      </c>
    </row>
    <row r="22" spans="1:15" x14ac:dyDescent="0.25">
      <c r="A22" s="123"/>
      <c r="B22" s="298">
        <v>800000</v>
      </c>
      <c r="C22" s="125" t="s">
        <v>343</v>
      </c>
      <c r="D22" s="125"/>
      <c r="E22" s="126"/>
      <c r="F22" s="117"/>
      <c r="G22" s="117"/>
      <c r="H22" s="117"/>
      <c r="I22" s="117"/>
      <c r="J22" s="118"/>
      <c r="L22" s="179" t="s">
        <v>423</v>
      </c>
      <c r="M22" s="188" t="s">
        <v>152</v>
      </c>
      <c r="N22" s="188" t="s">
        <v>102</v>
      </c>
      <c r="O22" s="183" t="s">
        <v>100</v>
      </c>
    </row>
    <row r="23" spans="1:15" x14ac:dyDescent="0.25">
      <c r="A23" s="123"/>
      <c r="B23" s="299">
        <v>0.8</v>
      </c>
      <c r="C23" s="125" t="s">
        <v>448</v>
      </c>
      <c r="D23" s="125"/>
      <c r="E23" s="126"/>
      <c r="F23" s="117"/>
      <c r="G23" s="117"/>
      <c r="H23" s="117"/>
      <c r="I23" s="117"/>
      <c r="J23" s="118"/>
      <c r="L23" s="311">
        <f>D18</f>
        <v>40359</v>
      </c>
      <c r="M23" s="264">
        <f>MIN(E18,100000)</f>
        <v>100000</v>
      </c>
      <c r="N23" s="264">
        <f>M23+F18</f>
        <v>600000</v>
      </c>
      <c r="O23" s="277">
        <f>MIN(N23,$N$12)</f>
        <v>552350</v>
      </c>
    </row>
    <row r="24" spans="1:15" x14ac:dyDescent="0.25">
      <c r="A24" s="123"/>
      <c r="B24" s="117"/>
      <c r="C24" s="117"/>
      <c r="D24" s="117"/>
      <c r="E24" s="117"/>
      <c r="F24" s="117"/>
      <c r="G24" s="117"/>
      <c r="H24" s="117"/>
      <c r="I24" s="117"/>
      <c r="J24" s="118"/>
      <c r="L24" s="283">
        <f>D19</f>
        <v>40908</v>
      </c>
      <c r="M24" s="215">
        <f>MIN(E19,100000)</f>
        <v>100000</v>
      </c>
      <c r="N24" s="215">
        <f>M24+F19</f>
        <v>300000</v>
      </c>
      <c r="O24" s="213">
        <f>MIN(N24,$N$12)</f>
        <v>300000</v>
      </c>
    </row>
    <row r="25" spans="1:15" x14ac:dyDescent="0.25">
      <c r="A25" s="123"/>
      <c r="B25" s="117" t="s">
        <v>449</v>
      </c>
      <c r="C25" s="117"/>
      <c r="D25" s="117"/>
      <c r="E25" s="117"/>
      <c r="F25" s="117"/>
      <c r="G25" s="117"/>
      <c r="H25" s="117"/>
      <c r="I25" s="117"/>
      <c r="J25" s="118"/>
      <c r="L25" s="284">
        <f>D20</f>
        <v>41004</v>
      </c>
      <c r="M25" s="216">
        <f>MIN(E20,100000)</f>
        <v>55000</v>
      </c>
      <c r="N25" s="216">
        <f>M25+F20</f>
        <v>115000</v>
      </c>
      <c r="O25" s="214">
        <f>MIN(N25,$N$12)</f>
        <v>115000</v>
      </c>
    </row>
    <row r="26" spans="1:15" x14ac:dyDescent="0.25">
      <c r="A26" s="123"/>
      <c r="B26" s="117" t="s">
        <v>450</v>
      </c>
      <c r="C26" s="117"/>
      <c r="D26" s="117"/>
      <c r="E26" s="117"/>
      <c r="F26" s="117"/>
      <c r="G26" s="117"/>
      <c r="H26" s="117"/>
      <c r="I26" s="117"/>
      <c r="J26" s="118"/>
      <c r="L26" s="198" t="s">
        <v>10</v>
      </c>
      <c r="M26" s="184"/>
      <c r="N26" s="184"/>
      <c r="O26" s="312">
        <f>SUM(O23:O25)</f>
        <v>967350</v>
      </c>
    </row>
    <row r="27" spans="1:15" x14ac:dyDescent="0.25">
      <c r="A27" s="123"/>
      <c r="B27" s="117"/>
      <c r="C27" s="117"/>
      <c r="D27" s="117"/>
      <c r="E27" s="117"/>
      <c r="F27" s="117"/>
      <c r="G27" s="117"/>
      <c r="H27" s="117"/>
      <c r="I27" s="117"/>
      <c r="J27" s="118"/>
    </row>
    <row r="28" spans="1:15" x14ac:dyDescent="0.25">
      <c r="A28" s="116" t="s">
        <v>7</v>
      </c>
      <c r="B28" s="117" t="s">
        <v>451</v>
      </c>
      <c r="C28" s="117"/>
      <c r="D28" s="117"/>
      <c r="E28" s="117"/>
      <c r="F28" s="117"/>
      <c r="G28" s="117"/>
      <c r="H28" s="117"/>
      <c r="I28" s="117"/>
      <c r="J28" s="118"/>
      <c r="L28" t="s">
        <v>463</v>
      </c>
    </row>
    <row r="29" spans="1:15" x14ac:dyDescent="0.25">
      <c r="A29" s="123"/>
      <c r="B29" s="117" t="s">
        <v>452</v>
      </c>
      <c r="C29" s="117"/>
      <c r="D29" s="117"/>
      <c r="E29" s="117"/>
      <c r="F29" s="117"/>
      <c r="G29" s="117"/>
      <c r="H29" s="117"/>
      <c r="I29" s="117"/>
      <c r="J29" s="118"/>
    </row>
    <row r="30" spans="1:15" x14ac:dyDescent="0.25">
      <c r="A30" s="123"/>
      <c r="B30" s="117"/>
      <c r="C30" s="117"/>
      <c r="D30" s="117"/>
      <c r="E30" s="117"/>
      <c r="F30" s="117"/>
      <c r="G30" s="117"/>
      <c r="H30" s="117"/>
      <c r="I30" s="117"/>
      <c r="J30" s="118"/>
      <c r="L30" s="310" t="s">
        <v>462</v>
      </c>
      <c r="M30" s="172"/>
      <c r="N30" s="172"/>
    </row>
    <row r="31" spans="1:15" x14ac:dyDescent="0.25">
      <c r="A31" s="123"/>
      <c r="B31" s="117" t="s">
        <v>263</v>
      </c>
      <c r="C31" s="117"/>
      <c r="D31" s="117"/>
      <c r="E31" s="117"/>
      <c r="F31" s="117"/>
      <c r="G31" s="117"/>
      <c r="H31" s="117"/>
      <c r="I31" s="117"/>
      <c r="J31" s="118"/>
      <c r="M31" s="172"/>
    </row>
    <row r="32" spans="1:15" x14ac:dyDescent="0.25">
      <c r="A32" s="123"/>
      <c r="B32" s="117"/>
      <c r="C32" s="117"/>
      <c r="D32" s="117"/>
      <c r="E32" s="117"/>
      <c r="F32" s="117"/>
      <c r="G32" s="117"/>
      <c r="H32" s="117"/>
      <c r="I32" s="117"/>
      <c r="J32" s="118"/>
      <c r="L32" s="198" t="s">
        <v>171</v>
      </c>
      <c r="M32" s="189" t="s">
        <v>460</v>
      </c>
      <c r="N32" s="189" t="s">
        <v>461</v>
      </c>
      <c r="O32" s="185" t="s">
        <v>10</v>
      </c>
    </row>
    <row r="33" spans="1:15" x14ac:dyDescent="0.25">
      <c r="A33" s="123"/>
      <c r="B33" s="253" t="s">
        <v>359</v>
      </c>
      <c r="C33" s="253"/>
      <c r="D33" s="253"/>
      <c r="E33" s="253"/>
      <c r="F33" s="253"/>
      <c r="G33" s="253"/>
      <c r="H33" s="253"/>
      <c r="I33" s="253"/>
      <c r="J33" s="118"/>
      <c r="L33" s="176">
        <v>2012</v>
      </c>
      <c r="M33" s="215">
        <f>E12-E20</f>
        <v>295000</v>
      </c>
      <c r="N33" s="215">
        <f>F12-F20</f>
        <v>1940000</v>
      </c>
      <c r="O33" s="213">
        <f>SUM(M33:N33)</f>
        <v>2235000</v>
      </c>
    </row>
    <row r="34" spans="1:15" x14ac:dyDescent="0.25">
      <c r="A34" s="123"/>
      <c r="B34" s="117"/>
      <c r="C34" s="117"/>
      <c r="D34" s="155" t="s">
        <v>357</v>
      </c>
      <c r="E34" s="156"/>
      <c r="F34" s="156"/>
      <c r="G34" s="156"/>
      <c r="H34" s="254"/>
      <c r="I34" s="117"/>
      <c r="J34" s="118"/>
      <c r="L34" s="176">
        <v>2011</v>
      </c>
      <c r="M34" s="215">
        <f>E11-E19</f>
        <v>250000</v>
      </c>
      <c r="N34" s="215">
        <f>F11-F19</f>
        <v>200000</v>
      </c>
      <c r="O34" s="213">
        <f t="shared" ref="O34:O35" si="4">SUM(M34:N34)</f>
        <v>450000</v>
      </c>
    </row>
    <row r="35" spans="1:15" x14ac:dyDescent="0.25">
      <c r="A35" s="123"/>
      <c r="B35" s="136" t="s">
        <v>2</v>
      </c>
      <c r="C35" s="136" t="s">
        <v>23</v>
      </c>
      <c r="D35" s="242" t="s">
        <v>155</v>
      </c>
      <c r="E35" s="242" t="s">
        <v>353</v>
      </c>
      <c r="F35" s="242" t="s">
        <v>354</v>
      </c>
      <c r="G35" s="242" t="s">
        <v>355</v>
      </c>
      <c r="H35" s="145" t="s">
        <v>356</v>
      </c>
      <c r="I35" s="117"/>
      <c r="J35" s="118"/>
      <c r="L35" s="176">
        <v>2010</v>
      </c>
      <c r="M35" s="215">
        <f>E10-E18</f>
        <v>800000</v>
      </c>
      <c r="N35" s="215">
        <f>F10-F18</f>
        <v>100000</v>
      </c>
      <c r="O35" s="213">
        <f t="shared" si="4"/>
        <v>900000</v>
      </c>
    </row>
    <row r="36" spans="1:15" x14ac:dyDescent="0.25">
      <c r="A36" s="123"/>
      <c r="B36" s="151" t="s">
        <v>351</v>
      </c>
      <c r="C36" s="203">
        <v>1</v>
      </c>
      <c r="D36" s="255">
        <v>1.24</v>
      </c>
      <c r="E36" s="255">
        <v>1.51</v>
      </c>
      <c r="F36" s="255">
        <v>1.59</v>
      </c>
      <c r="G36" s="255">
        <v>2.0299999999999998</v>
      </c>
      <c r="H36" s="256">
        <v>2.39</v>
      </c>
      <c r="I36" s="117"/>
      <c r="J36" s="118"/>
      <c r="L36" s="198" t="s">
        <v>10</v>
      </c>
      <c r="M36" s="313">
        <f>SUM(M33:M35)</f>
        <v>1345000</v>
      </c>
      <c r="N36" s="313">
        <f>SUM(N33:N35)</f>
        <v>2240000</v>
      </c>
      <c r="O36" s="312">
        <f>SUM(O33:O35)</f>
        <v>3585000</v>
      </c>
    </row>
    <row r="37" spans="1:15" x14ac:dyDescent="0.25">
      <c r="A37" s="123"/>
      <c r="B37" s="141" t="s">
        <v>352</v>
      </c>
      <c r="C37" s="162">
        <v>1</v>
      </c>
      <c r="D37" s="257">
        <v>0.72</v>
      </c>
      <c r="E37" s="257">
        <v>0.49</v>
      </c>
      <c r="F37" s="257">
        <v>0.43</v>
      </c>
      <c r="G37" s="257">
        <v>0.35</v>
      </c>
      <c r="H37" s="258">
        <v>0.22</v>
      </c>
      <c r="I37" s="117"/>
      <c r="J37" s="118"/>
    </row>
    <row r="38" spans="1:15" x14ac:dyDescent="0.25">
      <c r="A38" s="123"/>
      <c r="B38" s="117"/>
      <c r="C38" s="117"/>
      <c r="D38" s="117"/>
      <c r="E38" s="117"/>
      <c r="F38" s="117"/>
      <c r="G38" s="117"/>
      <c r="H38" s="117"/>
      <c r="I38" s="117"/>
      <c r="J38" s="118"/>
      <c r="L38" s="249" t="s">
        <v>377</v>
      </c>
      <c r="M38" s="249"/>
      <c r="N38" s="317">
        <f>O26+O36</f>
        <v>4552350</v>
      </c>
    </row>
    <row r="39" spans="1:15" x14ac:dyDescent="0.25">
      <c r="A39" s="123"/>
      <c r="B39" s="253" t="s">
        <v>358</v>
      </c>
      <c r="C39" s="160"/>
      <c r="D39" s="160"/>
      <c r="E39" s="117"/>
      <c r="F39" s="253" t="s">
        <v>360</v>
      </c>
      <c r="G39" s="160"/>
      <c r="H39" s="160"/>
      <c r="I39" s="160"/>
      <c r="J39" s="118"/>
    </row>
    <row r="40" spans="1:15" x14ac:dyDescent="0.25">
      <c r="A40" s="123"/>
      <c r="B40" s="128" t="s">
        <v>349</v>
      </c>
      <c r="C40" s="136" t="s">
        <v>187</v>
      </c>
      <c r="D40" s="145" t="s">
        <v>187</v>
      </c>
      <c r="E40" s="117"/>
      <c r="F40" s="225" t="s">
        <v>361</v>
      </c>
      <c r="G40" s="151" t="s">
        <v>254</v>
      </c>
      <c r="H40" s="151" t="s">
        <v>148</v>
      </c>
      <c r="I40" s="153" t="s">
        <v>149</v>
      </c>
      <c r="J40" s="118"/>
      <c r="L40" s="315" t="s">
        <v>464</v>
      </c>
    </row>
    <row r="41" spans="1:15" x14ac:dyDescent="0.25">
      <c r="A41" s="123"/>
      <c r="B41" s="132" t="s">
        <v>350</v>
      </c>
      <c r="C41" s="141" t="s">
        <v>188</v>
      </c>
      <c r="D41" s="146" t="s">
        <v>189</v>
      </c>
      <c r="E41" s="117"/>
      <c r="F41" s="147">
        <v>18</v>
      </c>
      <c r="G41" s="140">
        <v>0.71799999999999997</v>
      </c>
      <c r="H41" s="231">
        <v>0.56000000000000005</v>
      </c>
      <c r="I41" s="148">
        <v>0.42499999999999999</v>
      </c>
      <c r="J41" s="118"/>
      <c r="L41" t="s">
        <v>182</v>
      </c>
      <c r="M41" s="316">
        <f>(N38+T8)/Q8</f>
        <v>3.4316522521109771</v>
      </c>
    </row>
    <row r="42" spans="1:15" x14ac:dyDescent="0.25">
      <c r="A42" s="123"/>
      <c r="B42" s="147" t="s">
        <v>254</v>
      </c>
      <c r="C42" s="140">
        <v>0.88200000000000001</v>
      </c>
      <c r="D42" s="148">
        <v>0.90100000000000002</v>
      </c>
      <c r="E42" s="117"/>
      <c r="F42" s="147">
        <v>21</v>
      </c>
      <c r="G42" s="140">
        <v>0.67500000000000004</v>
      </c>
      <c r="H42" s="140">
        <v>0.53500000000000003</v>
      </c>
      <c r="I42" s="148">
        <v>0.40400000000000003</v>
      </c>
      <c r="J42" s="118"/>
    </row>
    <row r="43" spans="1:15" x14ac:dyDescent="0.25">
      <c r="A43" s="123"/>
      <c r="B43" s="147" t="s">
        <v>148</v>
      </c>
      <c r="C43" s="140">
        <v>0.82799999999999996</v>
      </c>
      <c r="D43" s="148">
        <v>0.85399999999999998</v>
      </c>
      <c r="E43" s="117"/>
      <c r="F43" s="147">
        <v>24</v>
      </c>
      <c r="G43" s="140">
        <v>0.63500000000000001</v>
      </c>
      <c r="H43" s="140">
        <v>0.497</v>
      </c>
      <c r="I43" s="148">
        <v>0.377</v>
      </c>
      <c r="J43" s="118"/>
      <c r="L43" t="s">
        <v>465</v>
      </c>
    </row>
    <row r="44" spans="1:15" x14ac:dyDescent="0.25">
      <c r="A44" s="123"/>
      <c r="B44" s="132" t="s">
        <v>149</v>
      </c>
      <c r="C44" s="141">
        <v>0.77700000000000002</v>
      </c>
      <c r="D44" s="281">
        <v>0.81</v>
      </c>
      <c r="E44" s="117"/>
      <c r="F44" s="132">
        <v>27</v>
      </c>
      <c r="G44" s="141">
        <v>0.59599999999999997</v>
      </c>
      <c r="H44" s="141">
        <v>0.46100000000000002</v>
      </c>
      <c r="I44" s="146">
        <v>0.35099999999999998</v>
      </c>
      <c r="J44" s="118"/>
      <c r="L44" t="s">
        <v>466</v>
      </c>
      <c r="M44">
        <f>(M41-M12)/M12*L12</f>
        <v>2.0786188898537454</v>
      </c>
    </row>
    <row r="45" spans="1:15" x14ac:dyDescent="0.25">
      <c r="A45" s="123"/>
      <c r="B45" s="117"/>
      <c r="C45" s="117"/>
      <c r="D45" s="117"/>
      <c r="E45" s="117"/>
      <c r="F45" s="117"/>
      <c r="G45" s="117"/>
      <c r="H45" s="117"/>
      <c r="I45" s="117"/>
      <c r="J45" s="118"/>
    </row>
    <row r="46" spans="1:15" x14ac:dyDescent="0.25">
      <c r="A46" s="123"/>
      <c r="B46" s="289" t="s">
        <v>362</v>
      </c>
      <c r="C46" s="160"/>
      <c r="D46" s="117"/>
      <c r="E46" s="117"/>
      <c r="F46" s="117"/>
      <c r="G46" s="117"/>
      <c r="H46" s="117"/>
      <c r="I46" s="117"/>
      <c r="J46" s="118"/>
      <c r="L46" t="s">
        <v>239</v>
      </c>
      <c r="O46" s="205">
        <f>1+M44</f>
        <v>3.0786188898537454</v>
      </c>
    </row>
    <row r="47" spans="1:15" x14ac:dyDescent="0.25">
      <c r="A47" s="123"/>
      <c r="B47" s="225" t="s">
        <v>363</v>
      </c>
      <c r="C47" s="151" t="s">
        <v>364</v>
      </c>
      <c r="D47" s="152" t="s">
        <v>11</v>
      </c>
      <c r="E47" s="151" t="s">
        <v>99</v>
      </c>
      <c r="F47" s="153" t="s">
        <v>100</v>
      </c>
      <c r="G47" s="117"/>
      <c r="H47" s="117"/>
      <c r="I47" s="117"/>
      <c r="J47" s="118"/>
    </row>
    <row r="48" spans="1:15" x14ac:dyDescent="0.25">
      <c r="A48" s="123"/>
      <c r="B48" s="259">
        <v>1358658</v>
      </c>
      <c r="C48" s="161">
        <v>1458466</v>
      </c>
      <c r="D48" s="150">
        <v>0.83</v>
      </c>
      <c r="E48" s="140">
        <v>0.995</v>
      </c>
      <c r="F48" s="260">
        <v>488500</v>
      </c>
      <c r="G48" s="117"/>
      <c r="H48" s="117"/>
      <c r="I48" s="117"/>
      <c r="J48" s="118"/>
    </row>
    <row r="49" spans="1:10" x14ac:dyDescent="0.25">
      <c r="A49" s="123"/>
      <c r="B49" s="259">
        <v>1458467</v>
      </c>
      <c r="C49" s="161">
        <v>1571154</v>
      </c>
      <c r="D49" s="150">
        <v>0.84</v>
      </c>
      <c r="E49" s="140">
        <v>0.995</v>
      </c>
      <c r="F49" s="260">
        <v>518500</v>
      </c>
      <c r="G49" s="117"/>
      <c r="H49" s="117"/>
      <c r="I49" s="117"/>
      <c r="J49" s="118"/>
    </row>
    <row r="50" spans="1:10" x14ac:dyDescent="0.25">
      <c r="A50" s="123"/>
      <c r="B50" s="259">
        <v>1571155</v>
      </c>
      <c r="C50" s="161">
        <v>1699386</v>
      </c>
      <c r="D50" s="282">
        <v>0.85</v>
      </c>
      <c r="E50" s="140">
        <v>0.996</v>
      </c>
      <c r="F50" s="260">
        <v>552350</v>
      </c>
      <c r="G50" s="117"/>
      <c r="H50" s="117"/>
      <c r="I50" s="117"/>
      <c r="J50" s="118"/>
    </row>
    <row r="51" spans="1:10" x14ac:dyDescent="0.25">
      <c r="A51" s="123"/>
      <c r="B51" s="261">
        <v>1699387</v>
      </c>
      <c r="C51" s="163">
        <v>1846614</v>
      </c>
      <c r="D51" s="154">
        <v>0.86</v>
      </c>
      <c r="E51" s="141">
        <v>0.997</v>
      </c>
      <c r="F51" s="262">
        <v>590800</v>
      </c>
      <c r="G51" s="117"/>
      <c r="H51" s="117"/>
      <c r="I51" s="117"/>
      <c r="J51" s="118"/>
    </row>
    <row r="52" spans="1:10" ht="15.75" thickBot="1" x14ac:dyDescent="0.3">
      <c r="A52" s="165"/>
      <c r="B52" s="166"/>
      <c r="C52" s="166"/>
      <c r="D52" s="166"/>
      <c r="E52" s="166"/>
      <c r="F52" s="166"/>
      <c r="G52" s="166"/>
      <c r="H52" s="166"/>
      <c r="I52" s="166"/>
      <c r="J52" s="167"/>
    </row>
  </sheetData>
  <mergeCells count="1">
    <mergeCell ref="I1:J1"/>
  </mergeCells>
  <hyperlinks>
    <hyperlink ref="I1" location="TOC!A1" display="Return to TOC" xr:uid="{E49B1132-18A8-493A-9462-AB5513BCE41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EA33-B748-40B2-AD3A-990E4B6BDBA0}">
  <sheetPr codeName="Sheet13"/>
  <dimension ref="A1:T47"/>
  <sheetViews>
    <sheetView workbookViewId="0"/>
  </sheetViews>
  <sheetFormatPr defaultRowHeight="15" x14ac:dyDescent="0.25"/>
  <cols>
    <col min="1" max="1" width="14" bestFit="1" customWidth="1"/>
    <col min="2" max="2" width="10.85546875" customWidth="1"/>
    <col min="3" max="3" width="11.5703125" customWidth="1"/>
    <col min="4" max="4" width="10.140625" bestFit="1" customWidth="1"/>
    <col min="9" max="9" width="10.5703125" customWidth="1"/>
    <col min="10" max="10" width="2.7109375" customWidth="1"/>
    <col min="11" max="11" width="10.85546875" customWidth="1"/>
    <col min="12" max="12" width="10.28515625" customWidth="1"/>
  </cols>
  <sheetData>
    <row r="1" spans="1:20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301" t="s">
        <v>8</v>
      </c>
      <c r="I1" s="302"/>
      <c r="K1" s="6" t="s">
        <v>9</v>
      </c>
    </row>
    <row r="2" spans="1:20" x14ac:dyDescent="0.25">
      <c r="A2" s="116" t="s">
        <v>4</v>
      </c>
      <c r="B2" s="320" t="s">
        <v>467</v>
      </c>
      <c r="C2" s="320"/>
      <c r="D2" s="320"/>
      <c r="E2" s="320"/>
      <c r="F2" s="320"/>
      <c r="G2" s="320"/>
      <c r="H2" s="320"/>
      <c r="I2" s="118"/>
      <c r="K2" t="s">
        <v>477</v>
      </c>
    </row>
    <row r="3" spans="1:20" x14ac:dyDescent="0.25">
      <c r="A3" s="116" t="s">
        <v>5</v>
      </c>
      <c r="B3" s="320" t="s">
        <v>468</v>
      </c>
      <c r="C3" s="320"/>
      <c r="D3" s="320"/>
      <c r="E3" s="320"/>
      <c r="F3" s="320"/>
      <c r="G3" s="320"/>
      <c r="H3" s="320"/>
      <c r="I3" s="118"/>
      <c r="K3" t="s">
        <v>478</v>
      </c>
    </row>
    <row r="4" spans="1:20" x14ac:dyDescent="0.25">
      <c r="A4" s="119"/>
      <c r="B4" s="321"/>
      <c r="C4" s="321"/>
      <c r="D4" s="321"/>
      <c r="E4" s="321"/>
      <c r="F4" s="321"/>
      <c r="G4" s="321"/>
      <c r="H4" s="321"/>
      <c r="I4" s="121"/>
      <c r="K4" t="s">
        <v>479</v>
      </c>
    </row>
    <row r="5" spans="1:20" x14ac:dyDescent="0.25">
      <c r="A5" s="122" t="s">
        <v>6</v>
      </c>
      <c r="B5" s="320" t="s">
        <v>469</v>
      </c>
      <c r="C5" s="320"/>
      <c r="D5" s="320"/>
      <c r="E5" s="320"/>
      <c r="F5" s="320"/>
      <c r="G5" s="320"/>
      <c r="H5" s="320"/>
      <c r="I5" s="118"/>
    </row>
    <row r="6" spans="1:20" x14ac:dyDescent="0.25">
      <c r="A6" s="123"/>
      <c r="B6" s="320"/>
      <c r="C6" s="320"/>
      <c r="D6" s="320"/>
      <c r="E6" s="320"/>
      <c r="F6" s="320"/>
      <c r="G6" s="320"/>
      <c r="H6" s="320"/>
      <c r="I6" s="118"/>
      <c r="K6" s="198" t="s">
        <v>171</v>
      </c>
      <c r="L6" s="189" t="s">
        <v>56</v>
      </c>
      <c r="M6" s="184" t="s">
        <v>57</v>
      </c>
      <c r="N6" s="184" t="s">
        <v>58</v>
      </c>
      <c r="O6" s="189" t="s">
        <v>59</v>
      </c>
      <c r="P6" s="189" t="s">
        <v>10</v>
      </c>
      <c r="Q6" s="189" t="s">
        <v>99</v>
      </c>
      <c r="R6" s="184" t="s">
        <v>105</v>
      </c>
      <c r="S6" s="189" t="s">
        <v>10</v>
      </c>
    </row>
    <row r="7" spans="1:20" x14ac:dyDescent="0.25">
      <c r="A7" s="123"/>
      <c r="B7" s="320" t="s">
        <v>470</v>
      </c>
      <c r="C7" s="320"/>
      <c r="D7" s="320"/>
      <c r="E7" s="320"/>
      <c r="F7" s="320"/>
      <c r="G7" s="320"/>
      <c r="H7" s="320"/>
      <c r="I7" s="118"/>
      <c r="K7" s="176">
        <v>2015</v>
      </c>
      <c r="L7" s="215">
        <f>$B$12*$B$13</f>
        <v>140000</v>
      </c>
      <c r="M7" s="318">
        <f>$D$31</f>
        <v>1.05</v>
      </c>
      <c r="N7" s="318">
        <f>D32</f>
        <v>0.94</v>
      </c>
      <c r="O7" s="187">
        <f>C37</f>
        <v>0.90700000000000003</v>
      </c>
      <c r="P7" s="251">
        <f>PRODUCT(L7:O7)</f>
        <v>125329.26000000001</v>
      </c>
      <c r="Q7" s="187">
        <f>$L$18</f>
        <v>0.94399999999999995</v>
      </c>
      <c r="R7" s="319">
        <v>0</v>
      </c>
      <c r="S7" s="187">
        <f>PRODUCT(P7:R7)</f>
        <v>0</v>
      </c>
    </row>
    <row r="8" spans="1:20" x14ac:dyDescent="0.25">
      <c r="A8" s="123"/>
      <c r="B8" s="322" t="s">
        <v>471</v>
      </c>
      <c r="C8" s="320"/>
      <c r="D8" s="320"/>
      <c r="E8" s="320"/>
      <c r="F8" s="320"/>
      <c r="G8" s="320"/>
      <c r="H8" s="320"/>
      <c r="I8" s="118"/>
      <c r="K8" s="176">
        <v>2014</v>
      </c>
      <c r="L8" s="215">
        <f>$B$12*$B$13</f>
        <v>140000</v>
      </c>
      <c r="M8" s="318">
        <f>$D$31</f>
        <v>1.05</v>
      </c>
      <c r="N8" s="318">
        <f>E32</f>
        <v>0.84</v>
      </c>
      <c r="O8" s="187">
        <f t="shared" ref="O8:O9" si="0">C38</f>
        <v>0.86399999999999999</v>
      </c>
      <c r="P8" s="251">
        <f>PRODUCT(L8:O8)</f>
        <v>106686.72</v>
      </c>
      <c r="Q8" s="187">
        <f>$L$18</f>
        <v>0.94399999999999995</v>
      </c>
      <c r="R8" s="319">
        <v>0</v>
      </c>
      <c r="S8" s="187">
        <f>PRODUCT(P8:R8)</f>
        <v>0</v>
      </c>
    </row>
    <row r="9" spans="1:20" x14ac:dyDescent="0.25">
      <c r="A9" s="123"/>
      <c r="B9" s="320" t="s">
        <v>472</v>
      </c>
      <c r="C9" s="320"/>
      <c r="D9" s="320"/>
      <c r="E9" s="320"/>
      <c r="F9" s="320"/>
      <c r="G9" s="320"/>
      <c r="H9" s="320"/>
      <c r="I9" s="118"/>
      <c r="K9" s="179">
        <v>2013</v>
      </c>
      <c r="L9" s="216">
        <f>$B$12*$B$13</f>
        <v>140000</v>
      </c>
      <c r="M9" s="182">
        <f>$D$31</f>
        <v>1.05</v>
      </c>
      <c r="N9" s="182">
        <f>F32</f>
        <v>0.78</v>
      </c>
      <c r="O9" s="188">
        <f t="shared" si="0"/>
        <v>0.82299999999999995</v>
      </c>
      <c r="P9" s="252">
        <f>PRODUCT(L9:O9)</f>
        <v>94365.18</v>
      </c>
      <c r="Q9" s="188">
        <f>$L$18</f>
        <v>0.94399999999999995</v>
      </c>
      <c r="R9" s="181">
        <v>0</v>
      </c>
      <c r="S9" s="188">
        <f>PRODUCT(P9:R9)</f>
        <v>0</v>
      </c>
    </row>
    <row r="10" spans="1:20" x14ac:dyDescent="0.25">
      <c r="A10" s="123"/>
      <c r="B10" s="320" t="s">
        <v>473</v>
      </c>
      <c r="C10" s="320"/>
      <c r="D10" s="320"/>
      <c r="E10" s="320"/>
      <c r="F10" s="320"/>
      <c r="G10" s="320"/>
      <c r="H10" s="320"/>
      <c r="I10" s="118"/>
      <c r="O10" s="308" t="s">
        <v>176</v>
      </c>
      <c r="P10" s="238">
        <f>SUM(P7:P9)</f>
        <v>326381.16000000003</v>
      </c>
      <c r="S10" s="329">
        <f>SUM(S7:S9)</f>
        <v>0</v>
      </c>
      <c r="T10" s="249" t="s">
        <v>408</v>
      </c>
    </row>
    <row r="11" spans="1:20" x14ac:dyDescent="0.25">
      <c r="A11" s="123"/>
      <c r="B11" s="320"/>
      <c r="C11" s="320"/>
      <c r="D11" s="320"/>
      <c r="E11" s="320"/>
      <c r="F11" s="320"/>
      <c r="G11" s="320"/>
      <c r="H11" s="320"/>
      <c r="I11" s="118"/>
    </row>
    <row r="12" spans="1:20" x14ac:dyDescent="0.25">
      <c r="A12" s="123"/>
      <c r="B12" s="219">
        <v>200000</v>
      </c>
      <c r="C12" s="328" t="s">
        <v>474</v>
      </c>
      <c r="D12" s="220"/>
      <c r="E12" s="220"/>
      <c r="F12" s="220"/>
      <c r="G12" s="220"/>
      <c r="H12" s="221"/>
      <c r="I12" s="118"/>
      <c r="K12" t="s">
        <v>483</v>
      </c>
    </row>
    <row r="13" spans="1:20" x14ac:dyDescent="0.25">
      <c r="A13" s="123"/>
      <c r="B13" s="223">
        <v>0.7</v>
      </c>
      <c r="C13" s="142" t="s">
        <v>145</v>
      </c>
      <c r="D13" s="224"/>
      <c r="E13" s="224"/>
      <c r="F13" s="224"/>
      <c r="G13" s="224"/>
      <c r="H13" s="144"/>
      <c r="I13" s="118"/>
      <c r="K13" t="s">
        <v>484</v>
      </c>
    </row>
    <row r="14" spans="1:20" x14ac:dyDescent="0.25">
      <c r="A14" s="123"/>
      <c r="B14" s="320"/>
      <c r="C14" s="320"/>
      <c r="D14" s="320"/>
      <c r="E14" s="320"/>
      <c r="F14" s="320"/>
      <c r="G14" s="320"/>
      <c r="H14" s="320"/>
      <c r="I14" s="118"/>
      <c r="K14" t="s">
        <v>485</v>
      </c>
    </row>
    <row r="15" spans="1:20" x14ac:dyDescent="0.25">
      <c r="A15" s="123"/>
      <c r="B15" s="225" t="s">
        <v>203</v>
      </c>
      <c r="C15" s="151" t="s">
        <v>54</v>
      </c>
      <c r="D15" s="151" t="s">
        <v>101</v>
      </c>
      <c r="E15" s="153" t="s">
        <v>102</v>
      </c>
      <c r="F15" s="320"/>
      <c r="G15" s="320"/>
      <c r="H15" s="320"/>
      <c r="I15" s="118"/>
    </row>
    <row r="16" spans="1:20" x14ac:dyDescent="0.25">
      <c r="A16" s="123"/>
      <c r="B16" s="147">
        <v>1</v>
      </c>
      <c r="C16" s="140">
        <v>2011</v>
      </c>
      <c r="D16" s="226">
        <v>5000</v>
      </c>
      <c r="E16" s="228">
        <v>5000</v>
      </c>
      <c r="F16" s="320"/>
      <c r="G16" s="320"/>
      <c r="H16" s="320"/>
      <c r="I16" s="118"/>
      <c r="K16" t="s">
        <v>432</v>
      </c>
    </row>
    <row r="17" spans="1:14" x14ac:dyDescent="0.25">
      <c r="A17" s="123"/>
      <c r="B17" s="147">
        <v>2</v>
      </c>
      <c r="C17" s="140">
        <v>2012</v>
      </c>
      <c r="D17" s="226">
        <v>15000</v>
      </c>
      <c r="E17" s="228">
        <v>25000</v>
      </c>
      <c r="F17" s="320"/>
      <c r="G17" s="320"/>
      <c r="H17" s="320"/>
      <c r="I17" s="118"/>
      <c r="K17" s="198" t="s">
        <v>11</v>
      </c>
      <c r="L17" s="184" t="s">
        <v>99</v>
      </c>
      <c r="M17" s="185" t="s">
        <v>100</v>
      </c>
    </row>
    <row r="18" spans="1:14" x14ac:dyDescent="0.25">
      <c r="A18" s="123"/>
      <c r="B18" s="147">
        <v>3</v>
      </c>
      <c r="C18" s="140">
        <v>2013</v>
      </c>
      <c r="D18" s="226">
        <v>58000</v>
      </c>
      <c r="E18" s="228">
        <v>0</v>
      </c>
      <c r="F18" s="320"/>
      <c r="G18" s="320"/>
      <c r="H18" s="320"/>
      <c r="I18" s="118"/>
      <c r="K18" s="196">
        <f>D46</f>
        <v>0.53</v>
      </c>
      <c r="L18" s="181">
        <f t="shared" ref="L18:M18" si="1">E46</f>
        <v>0.94399999999999995</v>
      </c>
      <c r="M18" s="197">
        <f t="shared" si="1"/>
        <v>170200</v>
      </c>
    </row>
    <row r="19" spans="1:14" x14ac:dyDescent="0.25">
      <c r="A19" s="123"/>
      <c r="B19" s="147">
        <v>4</v>
      </c>
      <c r="C19" s="140">
        <v>2013</v>
      </c>
      <c r="D19" s="226">
        <v>20000</v>
      </c>
      <c r="E19" s="228">
        <v>85000</v>
      </c>
      <c r="F19" s="320"/>
      <c r="G19" s="320"/>
      <c r="H19" s="320"/>
      <c r="I19" s="118"/>
    </row>
    <row r="20" spans="1:14" x14ac:dyDescent="0.25">
      <c r="A20" s="123"/>
      <c r="B20" s="147">
        <v>5</v>
      </c>
      <c r="C20" s="140">
        <v>2014</v>
      </c>
      <c r="D20" s="226">
        <v>118000</v>
      </c>
      <c r="E20" s="228">
        <v>82000</v>
      </c>
      <c r="F20" s="320"/>
      <c r="G20" s="320"/>
      <c r="H20" s="320"/>
      <c r="I20" s="118"/>
      <c r="K20" t="s">
        <v>480</v>
      </c>
    </row>
    <row r="21" spans="1:14" x14ac:dyDescent="0.25">
      <c r="A21" s="123"/>
      <c r="B21" s="132">
        <v>6</v>
      </c>
      <c r="C21" s="141">
        <v>2015</v>
      </c>
      <c r="D21" s="227">
        <v>8000</v>
      </c>
      <c r="E21" s="229">
        <v>5000</v>
      </c>
      <c r="F21" s="320"/>
      <c r="G21" s="320"/>
      <c r="H21" s="320"/>
      <c r="I21" s="118"/>
    </row>
    <row r="22" spans="1:14" x14ac:dyDescent="0.25">
      <c r="A22" s="123"/>
      <c r="B22" s="320"/>
      <c r="C22" s="320"/>
      <c r="D22" s="320"/>
      <c r="E22" s="320"/>
      <c r="F22" s="320"/>
      <c r="G22" s="320"/>
      <c r="H22" s="320"/>
      <c r="I22" s="118"/>
      <c r="K22" t="s">
        <v>231</v>
      </c>
    </row>
    <row r="23" spans="1:14" x14ac:dyDescent="0.25">
      <c r="A23" s="116" t="s">
        <v>7</v>
      </c>
      <c r="B23" s="320" t="s">
        <v>476</v>
      </c>
      <c r="C23" s="320"/>
      <c r="D23" s="320"/>
      <c r="E23" s="320"/>
      <c r="F23" s="320"/>
      <c r="G23" s="320"/>
      <c r="H23" s="320"/>
      <c r="I23" s="118"/>
    </row>
    <row r="24" spans="1:14" x14ac:dyDescent="0.25">
      <c r="A24" s="123"/>
      <c r="B24" s="320" t="s">
        <v>475</v>
      </c>
      <c r="C24" s="320"/>
      <c r="D24" s="320"/>
      <c r="E24" s="320"/>
      <c r="F24" s="320"/>
      <c r="G24" s="320"/>
      <c r="H24" s="320"/>
      <c r="I24" s="118"/>
      <c r="K24" t="s">
        <v>486</v>
      </c>
    </row>
    <row r="25" spans="1:14" x14ac:dyDescent="0.25">
      <c r="A25" s="123"/>
      <c r="B25" s="320"/>
      <c r="C25" s="320"/>
      <c r="D25" s="320"/>
      <c r="E25" s="320"/>
      <c r="F25" s="320"/>
      <c r="G25" s="320"/>
      <c r="H25" s="320"/>
      <c r="I25" s="118"/>
      <c r="K25" t="s">
        <v>487</v>
      </c>
    </row>
    <row r="26" spans="1:14" x14ac:dyDescent="0.25">
      <c r="A26" s="123"/>
      <c r="B26" s="320" t="s">
        <v>263</v>
      </c>
      <c r="C26" s="320"/>
      <c r="D26" s="320"/>
      <c r="E26" s="320"/>
      <c r="F26" s="320"/>
      <c r="G26" s="320"/>
      <c r="H26" s="320"/>
      <c r="I26" s="118"/>
    </row>
    <row r="27" spans="1:14" x14ac:dyDescent="0.25">
      <c r="A27" s="123"/>
      <c r="B27" s="320"/>
      <c r="C27" s="320"/>
      <c r="D27" s="320"/>
      <c r="E27" s="320"/>
      <c r="F27" s="320"/>
      <c r="G27" s="320"/>
      <c r="H27" s="320"/>
      <c r="I27" s="118"/>
      <c r="K27" s="195"/>
      <c r="L27" s="207" t="s">
        <v>211</v>
      </c>
      <c r="M27" s="207" t="s">
        <v>210</v>
      </c>
      <c r="N27" s="175" t="s">
        <v>211</v>
      </c>
    </row>
    <row r="28" spans="1:14" x14ac:dyDescent="0.25">
      <c r="A28" s="123"/>
      <c r="B28" s="323" t="s">
        <v>481</v>
      </c>
      <c r="C28" s="323"/>
      <c r="D28" s="323"/>
      <c r="E28" s="323"/>
      <c r="F28" s="323"/>
      <c r="G28" s="323"/>
      <c r="H28" s="323"/>
      <c r="I28" s="118"/>
      <c r="K28" s="179" t="s">
        <v>203</v>
      </c>
      <c r="L28" s="188" t="s">
        <v>152</v>
      </c>
      <c r="M28" s="188" t="s">
        <v>102</v>
      </c>
      <c r="N28" s="183" t="s">
        <v>100</v>
      </c>
    </row>
    <row r="29" spans="1:14" x14ac:dyDescent="0.25">
      <c r="A29" s="123"/>
      <c r="B29" s="320"/>
      <c r="C29" s="320"/>
      <c r="D29" s="155" t="s">
        <v>357</v>
      </c>
      <c r="E29" s="156"/>
      <c r="F29" s="156"/>
      <c r="G29" s="156"/>
      <c r="H29" s="254"/>
      <c r="I29" s="118"/>
      <c r="K29" s="195">
        <v>3</v>
      </c>
      <c r="L29" s="264">
        <f>MIN(100000,D18)</f>
        <v>58000</v>
      </c>
      <c r="M29" s="264">
        <f>L29+E18</f>
        <v>58000</v>
      </c>
      <c r="N29" s="277">
        <f>MIN(M29,$M$18)</f>
        <v>58000</v>
      </c>
    </row>
    <row r="30" spans="1:14" x14ac:dyDescent="0.25">
      <c r="A30" s="123"/>
      <c r="B30" s="136" t="s">
        <v>2</v>
      </c>
      <c r="C30" s="136" t="s">
        <v>23</v>
      </c>
      <c r="D30" s="242" t="s">
        <v>155</v>
      </c>
      <c r="E30" s="242" t="s">
        <v>353</v>
      </c>
      <c r="F30" s="242" t="s">
        <v>354</v>
      </c>
      <c r="G30" s="242" t="s">
        <v>355</v>
      </c>
      <c r="H30" s="145" t="s">
        <v>356</v>
      </c>
      <c r="I30" s="118"/>
      <c r="K30" s="176">
        <v>4</v>
      </c>
      <c r="L30" s="215">
        <f t="shared" ref="L30:L32" si="2">MIN(100000,D19)</f>
        <v>20000</v>
      </c>
      <c r="M30" s="215">
        <f t="shared" ref="M30:M32" si="3">L30+E19</f>
        <v>105000</v>
      </c>
      <c r="N30" s="213">
        <f t="shared" ref="N30:N32" si="4">MIN(M30,$M$18)</f>
        <v>105000</v>
      </c>
    </row>
    <row r="31" spans="1:14" x14ac:dyDescent="0.25">
      <c r="A31" s="123"/>
      <c r="B31" s="151" t="s">
        <v>351</v>
      </c>
      <c r="C31" s="203">
        <v>1</v>
      </c>
      <c r="D31" s="255">
        <v>1.05</v>
      </c>
      <c r="E31" s="255">
        <v>1.1399999999999999</v>
      </c>
      <c r="F31" s="255">
        <v>1.2</v>
      </c>
      <c r="G31" s="255">
        <v>1.32</v>
      </c>
      <c r="H31" s="256">
        <v>1.62</v>
      </c>
      <c r="I31" s="118"/>
      <c r="K31" s="176">
        <v>5</v>
      </c>
      <c r="L31" s="215">
        <f t="shared" si="2"/>
        <v>100000</v>
      </c>
      <c r="M31" s="215">
        <f t="shared" si="3"/>
        <v>182000</v>
      </c>
      <c r="N31" s="213">
        <f t="shared" si="4"/>
        <v>170200</v>
      </c>
    </row>
    <row r="32" spans="1:14" x14ac:dyDescent="0.25">
      <c r="A32" s="123"/>
      <c r="B32" s="141" t="s">
        <v>352</v>
      </c>
      <c r="C32" s="162">
        <v>1</v>
      </c>
      <c r="D32" s="257">
        <v>0.94</v>
      </c>
      <c r="E32" s="257">
        <v>0.84</v>
      </c>
      <c r="F32" s="257">
        <v>0.78</v>
      </c>
      <c r="G32" s="257">
        <v>0.67</v>
      </c>
      <c r="H32" s="258">
        <v>0.47</v>
      </c>
      <c r="I32" s="118"/>
      <c r="K32" s="179">
        <v>6</v>
      </c>
      <c r="L32" s="216">
        <f t="shared" si="2"/>
        <v>8000</v>
      </c>
      <c r="M32" s="216">
        <f t="shared" si="3"/>
        <v>13000</v>
      </c>
      <c r="N32" s="214">
        <f t="shared" si="4"/>
        <v>13000</v>
      </c>
    </row>
    <row r="33" spans="1:15" x14ac:dyDescent="0.25">
      <c r="A33" s="123"/>
      <c r="B33" s="320"/>
      <c r="C33" s="320"/>
      <c r="D33" s="320"/>
      <c r="E33" s="320"/>
      <c r="F33" s="320"/>
      <c r="G33" s="320"/>
      <c r="H33" s="320"/>
      <c r="I33" s="118"/>
      <c r="K33" s="198" t="s">
        <v>10</v>
      </c>
      <c r="L33" s="184"/>
      <c r="M33" s="184"/>
      <c r="N33" s="330">
        <f>SUM(N29:N32)</f>
        <v>346200</v>
      </c>
      <c r="O33" s="249" t="s">
        <v>488</v>
      </c>
    </row>
    <row r="34" spans="1:15" x14ac:dyDescent="0.25">
      <c r="A34" s="123"/>
      <c r="B34" s="323" t="s">
        <v>482</v>
      </c>
      <c r="C34" s="324"/>
      <c r="D34" s="324"/>
      <c r="E34" s="320"/>
      <c r="F34" s="320"/>
      <c r="G34" s="320"/>
      <c r="H34" s="320"/>
      <c r="I34" s="118"/>
    </row>
    <row r="35" spans="1:15" x14ac:dyDescent="0.25">
      <c r="A35" s="123"/>
      <c r="B35" s="128" t="s">
        <v>349</v>
      </c>
      <c r="C35" s="136" t="s">
        <v>187</v>
      </c>
      <c r="D35" s="145" t="s">
        <v>187</v>
      </c>
      <c r="E35" s="320"/>
      <c r="F35" s="320"/>
      <c r="G35" s="320"/>
      <c r="H35" s="320"/>
      <c r="I35" s="118"/>
      <c r="K35" t="s">
        <v>234</v>
      </c>
      <c r="L35" s="194">
        <f>(N33+S10)/P10</f>
        <v>1.0607229902608348</v>
      </c>
    </row>
    <row r="36" spans="1:15" x14ac:dyDescent="0.25">
      <c r="A36" s="123"/>
      <c r="B36" s="132" t="s">
        <v>350</v>
      </c>
      <c r="C36" s="141" t="s">
        <v>188</v>
      </c>
      <c r="D36" s="146" t="s">
        <v>189</v>
      </c>
      <c r="E36" s="320"/>
      <c r="F36" s="320"/>
      <c r="G36" s="320"/>
      <c r="H36" s="320"/>
      <c r="I36" s="118"/>
    </row>
    <row r="37" spans="1:15" x14ac:dyDescent="0.25">
      <c r="A37" s="123"/>
      <c r="B37" s="147" t="s">
        <v>254</v>
      </c>
      <c r="C37" s="140">
        <v>0.90700000000000003</v>
      </c>
      <c r="D37" s="148">
        <v>0.92600000000000005</v>
      </c>
      <c r="E37" s="320"/>
      <c r="F37" s="320"/>
      <c r="G37" s="320"/>
      <c r="H37" s="320"/>
      <c r="I37" s="118"/>
      <c r="K37" t="s">
        <v>183</v>
      </c>
    </row>
    <row r="38" spans="1:15" x14ac:dyDescent="0.25">
      <c r="A38" s="123"/>
      <c r="B38" s="147" t="s">
        <v>148</v>
      </c>
      <c r="C38" s="140">
        <v>0.86399999999999999</v>
      </c>
      <c r="D38" s="148">
        <v>0.89200000000000002</v>
      </c>
      <c r="E38" s="320"/>
      <c r="F38" s="320"/>
      <c r="G38" s="320"/>
      <c r="H38" s="320"/>
      <c r="I38" s="118"/>
      <c r="K38" t="s">
        <v>489</v>
      </c>
      <c r="N38">
        <f>(L35-L18)/L18*K18</f>
        <v>6.5533034786273828E-2</v>
      </c>
    </row>
    <row r="39" spans="1:15" x14ac:dyDescent="0.25">
      <c r="A39" s="123"/>
      <c r="B39" s="132" t="s">
        <v>149</v>
      </c>
      <c r="C39" s="141">
        <v>0.82299999999999995</v>
      </c>
      <c r="D39" s="281">
        <v>0.85799999999999998</v>
      </c>
      <c r="E39" s="320"/>
      <c r="F39" s="320"/>
      <c r="G39" s="320"/>
      <c r="H39" s="320"/>
      <c r="I39" s="118"/>
    </row>
    <row r="40" spans="1:15" x14ac:dyDescent="0.25">
      <c r="A40" s="123"/>
      <c r="B40" s="320"/>
      <c r="C40" s="320"/>
      <c r="D40" s="320"/>
      <c r="E40" s="320"/>
      <c r="F40" s="320"/>
      <c r="G40" s="320"/>
      <c r="H40" s="320"/>
      <c r="I40" s="118"/>
      <c r="K40" t="s">
        <v>194</v>
      </c>
      <c r="N40" s="194">
        <f>1+N38</f>
        <v>1.0655330347862739</v>
      </c>
    </row>
    <row r="41" spans="1:15" x14ac:dyDescent="0.25">
      <c r="A41" s="123"/>
      <c r="B41" s="325" t="s">
        <v>362</v>
      </c>
      <c r="C41" s="324"/>
      <c r="D41" s="320"/>
      <c r="E41" s="320"/>
      <c r="F41" s="320"/>
      <c r="G41" s="320"/>
      <c r="H41" s="320"/>
      <c r="I41" s="118"/>
    </row>
    <row r="42" spans="1:15" x14ac:dyDescent="0.25">
      <c r="A42" s="123"/>
      <c r="B42" s="225" t="s">
        <v>363</v>
      </c>
      <c r="C42" s="151" t="s">
        <v>364</v>
      </c>
      <c r="D42" s="152" t="s">
        <v>11</v>
      </c>
      <c r="E42" s="151" t="s">
        <v>99</v>
      </c>
      <c r="F42" s="153" t="s">
        <v>100</v>
      </c>
      <c r="G42" s="320"/>
      <c r="H42" s="320"/>
      <c r="I42" s="118"/>
      <c r="K42" t="s">
        <v>491</v>
      </c>
    </row>
    <row r="43" spans="1:15" x14ac:dyDescent="0.25">
      <c r="A43" s="123"/>
      <c r="B43" s="259">
        <v>282494</v>
      </c>
      <c r="C43" s="161">
        <v>294022</v>
      </c>
      <c r="D43" s="326">
        <v>0.5</v>
      </c>
      <c r="E43" s="140">
        <v>0.93500000000000005</v>
      </c>
      <c r="F43" s="260">
        <v>158550</v>
      </c>
      <c r="G43" s="320"/>
      <c r="H43" s="320"/>
      <c r="I43" s="118"/>
    </row>
    <row r="44" spans="1:15" x14ac:dyDescent="0.25">
      <c r="A44" s="123"/>
      <c r="B44" s="259">
        <v>294023</v>
      </c>
      <c r="C44" s="161">
        <v>306026</v>
      </c>
      <c r="D44" s="314">
        <v>0.51</v>
      </c>
      <c r="E44" s="140">
        <v>0.93799999999999994</v>
      </c>
      <c r="F44" s="260">
        <v>162250</v>
      </c>
      <c r="G44" s="320"/>
      <c r="H44" s="320"/>
      <c r="I44" s="118"/>
      <c r="K44" t="s">
        <v>490</v>
      </c>
    </row>
    <row r="45" spans="1:15" x14ac:dyDescent="0.25">
      <c r="A45" s="123"/>
      <c r="B45" s="259">
        <v>306027</v>
      </c>
      <c r="C45" s="161">
        <v>318536</v>
      </c>
      <c r="D45" s="326">
        <v>0.52</v>
      </c>
      <c r="E45" s="140">
        <v>0.94099999999999995</v>
      </c>
      <c r="F45" s="260">
        <v>166150</v>
      </c>
      <c r="G45" s="320"/>
      <c r="H45" s="320"/>
      <c r="I45" s="118"/>
      <c r="K45" t="s">
        <v>492</v>
      </c>
      <c r="L45" s="236">
        <v>1</v>
      </c>
    </row>
    <row r="46" spans="1:15" x14ac:dyDescent="0.25">
      <c r="A46" s="123"/>
      <c r="B46" s="261">
        <v>318537</v>
      </c>
      <c r="C46" s="163">
        <v>331584</v>
      </c>
      <c r="D46" s="154">
        <v>0.53</v>
      </c>
      <c r="E46" s="141">
        <v>0.94399999999999995</v>
      </c>
      <c r="F46" s="262">
        <v>170200</v>
      </c>
      <c r="G46" s="320"/>
      <c r="H46" s="320"/>
      <c r="I46" s="118"/>
    </row>
    <row r="47" spans="1:15" ht="15.75" thickBot="1" x14ac:dyDescent="0.3">
      <c r="A47" s="165"/>
      <c r="B47" s="166"/>
      <c r="C47" s="166"/>
      <c r="D47" s="166"/>
      <c r="E47" s="166"/>
      <c r="F47" s="166"/>
      <c r="G47" s="166"/>
      <c r="H47" s="166"/>
      <c r="I47" s="167"/>
      <c r="K47" t="s">
        <v>493</v>
      </c>
      <c r="L47" s="217">
        <f>B12*L45*N40</f>
        <v>213106.60695725479</v>
      </c>
    </row>
  </sheetData>
  <mergeCells count="1">
    <mergeCell ref="H1:I1"/>
  </mergeCells>
  <hyperlinks>
    <hyperlink ref="H1" location="TOC!A1" display="Return to TOC" xr:uid="{B6D33D06-239F-4999-867F-2283D607609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16F6-3653-4D4A-8CF2-25EFB5B0BA8B}">
  <sheetPr codeName="Sheet14"/>
  <dimension ref="A1:N32"/>
  <sheetViews>
    <sheetView workbookViewId="0"/>
  </sheetViews>
  <sheetFormatPr defaultRowHeight="15" x14ac:dyDescent="0.25"/>
  <cols>
    <col min="1" max="1" width="14" bestFit="1" customWidth="1"/>
    <col min="4" max="4" width="10.140625" customWidth="1"/>
    <col min="10" max="10" width="2.7109375" customWidth="1"/>
    <col min="11" max="11" width="11.28515625" customWidth="1"/>
  </cols>
  <sheetData>
    <row r="1" spans="1:14" x14ac:dyDescent="0.25">
      <c r="A1" s="168" t="s">
        <v>3</v>
      </c>
      <c r="B1" s="169" t="s">
        <v>12</v>
      </c>
      <c r="C1" s="169"/>
      <c r="D1" s="170"/>
      <c r="E1" s="169"/>
      <c r="F1" s="169"/>
      <c r="G1" s="169"/>
      <c r="H1" s="301" t="s">
        <v>8</v>
      </c>
      <c r="I1" s="302"/>
      <c r="K1" s="6" t="s">
        <v>9</v>
      </c>
    </row>
    <row r="2" spans="1:14" x14ac:dyDescent="0.25">
      <c r="A2" s="116" t="s">
        <v>4</v>
      </c>
      <c r="B2" s="320" t="s">
        <v>494</v>
      </c>
      <c r="C2" s="320"/>
      <c r="D2" s="320"/>
      <c r="E2" s="320"/>
      <c r="F2" s="320"/>
      <c r="G2" s="320"/>
      <c r="H2" s="320"/>
      <c r="I2" s="118"/>
      <c r="J2" t="s">
        <v>317</v>
      </c>
      <c r="K2" t="s">
        <v>514</v>
      </c>
    </row>
    <row r="3" spans="1:14" x14ac:dyDescent="0.25">
      <c r="A3" s="116" t="s">
        <v>5</v>
      </c>
      <c r="B3" s="320" t="s">
        <v>168</v>
      </c>
      <c r="C3" s="320"/>
      <c r="D3" s="320"/>
      <c r="E3" s="320"/>
      <c r="F3" s="320"/>
      <c r="G3" s="320"/>
      <c r="H3" s="320"/>
      <c r="I3" s="118"/>
      <c r="K3" s="198" t="s">
        <v>11</v>
      </c>
      <c r="L3" s="184" t="s">
        <v>99</v>
      </c>
      <c r="M3" s="185" t="s">
        <v>100</v>
      </c>
    </row>
    <row r="4" spans="1:14" x14ac:dyDescent="0.25">
      <c r="A4" s="119"/>
      <c r="B4" s="321"/>
      <c r="C4" s="321"/>
      <c r="D4" s="321"/>
      <c r="E4" s="321"/>
      <c r="F4" s="321"/>
      <c r="G4" s="321"/>
      <c r="H4" s="321"/>
      <c r="I4" s="121"/>
      <c r="K4" s="196">
        <f>D29</f>
        <v>0.48</v>
      </c>
      <c r="L4" s="181">
        <f t="shared" ref="L4:M4" si="0">E29</f>
        <v>0.92900000000000005</v>
      </c>
      <c r="M4" s="197">
        <f t="shared" si="0"/>
        <v>151450</v>
      </c>
    </row>
    <row r="5" spans="1:14" x14ac:dyDescent="0.25">
      <c r="A5" s="122" t="s">
        <v>6</v>
      </c>
      <c r="B5" s="320" t="s">
        <v>501</v>
      </c>
      <c r="C5" s="320"/>
      <c r="D5" s="320"/>
      <c r="E5" s="320"/>
      <c r="F5" s="320"/>
      <c r="G5" s="320"/>
      <c r="H5" s="320"/>
      <c r="I5" s="118"/>
    </row>
    <row r="6" spans="1:14" x14ac:dyDescent="0.25">
      <c r="A6" s="123"/>
      <c r="B6" s="320" t="s">
        <v>502</v>
      </c>
      <c r="C6" s="320"/>
      <c r="D6" s="320"/>
      <c r="E6" s="320"/>
      <c r="F6" s="320"/>
      <c r="G6" s="320"/>
      <c r="H6" s="320"/>
      <c r="I6" s="118"/>
      <c r="K6" t="s">
        <v>183</v>
      </c>
    </row>
    <row r="7" spans="1:14" x14ac:dyDescent="0.25">
      <c r="A7" s="123"/>
      <c r="B7" s="320" t="s">
        <v>503</v>
      </c>
      <c r="C7" s="320"/>
      <c r="D7" s="320"/>
      <c r="E7" s="320"/>
      <c r="F7" s="320"/>
      <c r="G7" s="320"/>
      <c r="H7" s="320"/>
      <c r="I7" s="118"/>
    </row>
    <row r="8" spans="1:14" x14ac:dyDescent="0.25">
      <c r="A8" s="123"/>
      <c r="B8" s="320"/>
      <c r="C8" s="320"/>
      <c r="D8" s="320"/>
      <c r="E8" s="320"/>
      <c r="F8" s="320"/>
      <c r="G8" s="320"/>
      <c r="H8" s="320"/>
      <c r="I8" s="118"/>
      <c r="K8" t="s">
        <v>489</v>
      </c>
      <c r="N8" s="205">
        <f>(B10-L4)/L4*K4</f>
        <v>-4.081808396124869E-2</v>
      </c>
    </row>
    <row r="9" spans="1:14" x14ac:dyDescent="0.25">
      <c r="A9" s="123"/>
      <c r="B9" s="158">
        <v>270500</v>
      </c>
      <c r="C9" s="328" t="s">
        <v>362</v>
      </c>
      <c r="D9" s="220"/>
      <c r="E9" s="221"/>
      <c r="F9" s="320"/>
      <c r="G9" s="320"/>
      <c r="H9" s="320"/>
      <c r="I9" s="118"/>
    </row>
    <row r="10" spans="1:14" x14ac:dyDescent="0.25">
      <c r="A10" s="123"/>
      <c r="B10" s="231">
        <v>0.85</v>
      </c>
      <c r="C10" s="137" t="s">
        <v>504</v>
      </c>
      <c r="D10" s="320"/>
      <c r="E10" s="139"/>
      <c r="F10" s="320"/>
      <c r="G10" s="320"/>
      <c r="H10" s="320"/>
      <c r="I10" s="118"/>
      <c r="J10" t="s">
        <v>320</v>
      </c>
      <c r="K10" t="s">
        <v>515</v>
      </c>
    </row>
    <row r="11" spans="1:14" x14ac:dyDescent="0.25">
      <c r="A11" s="123"/>
      <c r="B11" s="331">
        <v>43831</v>
      </c>
      <c r="C11" s="137" t="s">
        <v>505</v>
      </c>
      <c r="D11" s="320"/>
      <c r="E11" s="139"/>
      <c r="F11" s="320"/>
      <c r="G11" s="320"/>
      <c r="H11" s="320"/>
      <c r="I11" s="118"/>
      <c r="K11" t="s">
        <v>516</v>
      </c>
    </row>
    <row r="12" spans="1:14" x14ac:dyDescent="0.25">
      <c r="A12" s="123"/>
      <c r="B12" s="141" t="s">
        <v>506</v>
      </c>
      <c r="C12" s="142" t="s">
        <v>252</v>
      </c>
      <c r="D12" s="224"/>
      <c r="E12" s="144"/>
      <c r="F12" s="320"/>
      <c r="G12" s="320"/>
      <c r="H12" s="320"/>
      <c r="I12" s="118"/>
      <c r="K12" t="s">
        <v>517</v>
      </c>
    </row>
    <row r="13" spans="1:14" x14ac:dyDescent="0.25">
      <c r="A13" s="123"/>
      <c r="B13" s="320"/>
      <c r="C13" s="320"/>
      <c r="D13" s="320"/>
      <c r="E13" s="320"/>
      <c r="F13" s="320"/>
      <c r="G13" s="320"/>
      <c r="H13" s="320"/>
      <c r="I13" s="118"/>
      <c r="K13" t="s">
        <v>518</v>
      </c>
    </row>
    <row r="14" spans="1:14" x14ac:dyDescent="0.25">
      <c r="A14" s="123"/>
      <c r="B14" s="320" t="s">
        <v>507</v>
      </c>
      <c r="C14" s="320"/>
      <c r="D14" s="320"/>
      <c r="E14" s="320"/>
      <c r="F14" s="320"/>
      <c r="G14" s="320"/>
      <c r="H14" s="320"/>
      <c r="I14" s="118"/>
    </row>
    <row r="15" spans="1:14" x14ac:dyDescent="0.25">
      <c r="A15" s="123"/>
      <c r="B15" s="320" t="s">
        <v>508</v>
      </c>
      <c r="C15" s="320"/>
      <c r="D15" s="320"/>
      <c r="E15" s="320"/>
      <c r="F15" s="320"/>
      <c r="G15" s="320"/>
      <c r="H15" s="320"/>
      <c r="I15" s="118"/>
      <c r="K15" t="s">
        <v>519</v>
      </c>
    </row>
    <row r="16" spans="1:14" x14ac:dyDescent="0.25">
      <c r="A16" s="123"/>
      <c r="B16" s="320" t="s">
        <v>509</v>
      </c>
      <c r="C16" s="320"/>
      <c r="D16" s="320"/>
      <c r="E16" s="320"/>
      <c r="F16" s="320"/>
      <c r="G16" s="320"/>
      <c r="H16" s="320"/>
      <c r="I16" s="118"/>
    </row>
    <row r="17" spans="1:11" x14ac:dyDescent="0.25">
      <c r="A17" s="123"/>
      <c r="B17" s="320" t="s">
        <v>510</v>
      </c>
      <c r="C17" s="320"/>
      <c r="D17" s="320"/>
      <c r="E17" s="320"/>
      <c r="F17" s="320"/>
      <c r="G17" s="320"/>
      <c r="H17" s="320"/>
      <c r="I17" s="118"/>
      <c r="K17" t="s">
        <v>520</v>
      </c>
    </row>
    <row r="18" spans="1:11" x14ac:dyDescent="0.25">
      <c r="A18" s="123"/>
      <c r="B18" s="320"/>
      <c r="C18" s="320"/>
      <c r="D18" s="320"/>
      <c r="E18" s="320"/>
      <c r="F18" s="320"/>
      <c r="G18" s="320"/>
      <c r="H18" s="320"/>
      <c r="I18" s="118"/>
    </row>
    <row r="19" spans="1:11" x14ac:dyDescent="0.25">
      <c r="A19" s="116" t="s">
        <v>7</v>
      </c>
      <c r="B19" s="320" t="s">
        <v>511</v>
      </c>
      <c r="C19" s="320"/>
      <c r="D19" s="320"/>
      <c r="E19" s="320"/>
      <c r="F19" s="320"/>
      <c r="G19" s="320"/>
      <c r="H19" s="320"/>
      <c r="I19" s="118"/>
      <c r="K19" t="s">
        <v>521</v>
      </c>
    </row>
    <row r="20" spans="1:11" x14ac:dyDescent="0.25">
      <c r="A20" s="123"/>
      <c r="B20" s="320"/>
      <c r="C20" s="320"/>
      <c r="D20" s="320"/>
      <c r="E20" s="320"/>
      <c r="F20" s="320"/>
      <c r="G20" s="320"/>
      <c r="H20" s="320"/>
      <c r="I20" s="118"/>
    </row>
    <row r="21" spans="1:11" x14ac:dyDescent="0.25">
      <c r="A21" s="123"/>
      <c r="B21" s="320" t="s">
        <v>512</v>
      </c>
      <c r="C21" s="320"/>
      <c r="D21" s="320"/>
      <c r="E21" s="320"/>
      <c r="F21" s="320"/>
      <c r="G21" s="320"/>
      <c r="H21" s="320"/>
      <c r="I21" s="118"/>
    </row>
    <row r="22" spans="1:11" x14ac:dyDescent="0.25">
      <c r="A22" s="123"/>
      <c r="B22" s="332" t="s">
        <v>513</v>
      </c>
      <c r="C22" s="320"/>
      <c r="D22" s="320"/>
      <c r="E22" s="320"/>
      <c r="F22" s="320"/>
      <c r="G22" s="320"/>
      <c r="H22" s="320"/>
      <c r="I22" s="118"/>
    </row>
    <row r="23" spans="1:11" x14ac:dyDescent="0.25">
      <c r="A23" s="123"/>
      <c r="B23" s="320"/>
      <c r="C23" s="320"/>
      <c r="D23" s="320"/>
      <c r="E23" s="320"/>
      <c r="F23" s="320"/>
      <c r="G23" s="320"/>
      <c r="H23" s="320"/>
      <c r="I23" s="118"/>
    </row>
    <row r="24" spans="1:11" x14ac:dyDescent="0.25">
      <c r="A24" s="123"/>
      <c r="B24" s="320" t="s">
        <v>263</v>
      </c>
      <c r="C24" s="320"/>
      <c r="D24" s="320"/>
      <c r="E24" s="320"/>
      <c r="F24" s="320"/>
      <c r="G24" s="320"/>
      <c r="H24" s="320"/>
      <c r="I24" s="118"/>
    </row>
    <row r="25" spans="1:11" x14ac:dyDescent="0.25">
      <c r="A25" s="123"/>
      <c r="B25" s="320"/>
      <c r="C25" s="320"/>
      <c r="D25" s="320"/>
      <c r="E25" s="320"/>
      <c r="F25" s="320"/>
      <c r="G25" s="320"/>
      <c r="H25" s="320"/>
      <c r="I25" s="118"/>
    </row>
    <row r="26" spans="1:11" x14ac:dyDescent="0.25">
      <c r="A26" s="123"/>
      <c r="B26" s="325" t="s">
        <v>362</v>
      </c>
      <c r="C26" s="324"/>
      <c r="D26" s="320"/>
      <c r="E26" s="320"/>
      <c r="F26" s="320"/>
      <c r="G26" s="320"/>
      <c r="H26" s="320"/>
      <c r="I26" s="118"/>
    </row>
    <row r="27" spans="1:11" x14ac:dyDescent="0.25">
      <c r="A27" s="123"/>
      <c r="B27" s="225" t="s">
        <v>363</v>
      </c>
      <c r="C27" s="151" t="s">
        <v>364</v>
      </c>
      <c r="D27" s="152" t="s">
        <v>11</v>
      </c>
      <c r="E27" s="151" t="s">
        <v>99</v>
      </c>
      <c r="F27" s="153" t="s">
        <v>100</v>
      </c>
      <c r="G27" s="320"/>
      <c r="H27" s="320"/>
      <c r="I27" s="118"/>
    </row>
    <row r="28" spans="1:11" x14ac:dyDescent="0.25">
      <c r="A28" s="123"/>
      <c r="B28" s="259">
        <v>250492</v>
      </c>
      <c r="C28" s="161">
        <v>260752</v>
      </c>
      <c r="D28" s="326">
        <v>0.47</v>
      </c>
      <c r="E28" s="140">
        <v>0.92600000000000005</v>
      </c>
      <c r="F28" s="260">
        <v>148050</v>
      </c>
      <c r="G28" s="320"/>
      <c r="H28" s="320"/>
      <c r="I28" s="118"/>
    </row>
    <row r="29" spans="1:11" x14ac:dyDescent="0.25">
      <c r="A29" s="123"/>
      <c r="B29" s="259">
        <v>260753</v>
      </c>
      <c r="C29" s="161">
        <v>271411</v>
      </c>
      <c r="D29" s="314">
        <v>0.48</v>
      </c>
      <c r="E29" s="140">
        <v>0.92900000000000005</v>
      </c>
      <c r="F29" s="260">
        <v>151450</v>
      </c>
      <c r="G29" s="320"/>
      <c r="H29" s="320"/>
      <c r="I29" s="118"/>
    </row>
    <row r="30" spans="1:11" x14ac:dyDescent="0.25">
      <c r="A30" s="123"/>
      <c r="B30" s="259">
        <v>271412</v>
      </c>
      <c r="C30" s="161">
        <v>282493</v>
      </c>
      <c r="D30" s="326">
        <v>0.49</v>
      </c>
      <c r="E30" s="140">
        <v>0.93200000000000005</v>
      </c>
      <c r="F30" s="260">
        <v>154900</v>
      </c>
      <c r="G30" s="320"/>
      <c r="H30" s="320"/>
      <c r="I30" s="118"/>
    </row>
    <row r="31" spans="1:11" x14ac:dyDescent="0.25">
      <c r="A31" s="123"/>
      <c r="B31" s="261">
        <v>282494</v>
      </c>
      <c r="C31" s="163">
        <v>294022</v>
      </c>
      <c r="D31" s="257">
        <v>0.5</v>
      </c>
      <c r="E31" s="141">
        <v>0.93500000000000005</v>
      </c>
      <c r="F31" s="262">
        <v>158550</v>
      </c>
      <c r="G31" s="320"/>
      <c r="H31" s="320"/>
      <c r="I31" s="118"/>
    </row>
    <row r="32" spans="1:11" ht="15.75" thickBot="1" x14ac:dyDescent="0.3">
      <c r="A32" s="165"/>
      <c r="B32" s="166"/>
      <c r="C32" s="166"/>
      <c r="D32" s="166"/>
      <c r="E32" s="166"/>
      <c r="F32" s="166"/>
      <c r="G32" s="166"/>
      <c r="H32" s="166"/>
      <c r="I32" s="167"/>
    </row>
  </sheetData>
  <mergeCells count="1">
    <mergeCell ref="H1:I1"/>
  </mergeCells>
  <hyperlinks>
    <hyperlink ref="H1" location="TOC!A1" display="Return to TOC" xr:uid="{6B5C56F6-D234-4266-8C62-E2A946E0F14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2C16-9DE7-4270-8AF7-7C02959CBA9E}">
  <sheetPr codeName="Sheet86"/>
  <dimension ref="A1:AB57"/>
  <sheetViews>
    <sheetView zoomScaleNormal="100" workbookViewId="0"/>
  </sheetViews>
  <sheetFormatPr defaultColWidth="9.140625" defaultRowHeight="15" x14ac:dyDescent="0.25"/>
  <cols>
    <col min="1" max="1" width="10.7109375" style="7" customWidth="1"/>
    <col min="2" max="2" width="3.140625" style="7" customWidth="1"/>
    <col min="3" max="3" width="17" style="7" customWidth="1"/>
    <col min="4" max="4" width="26.5703125" style="7" customWidth="1"/>
    <col min="5" max="5" width="12.140625" style="7" bestFit="1" customWidth="1"/>
    <col min="6" max="6" width="12.28515625" style="7" customWidth="1"/>
    <col min="7" max="7" width="10.140625" style="7" bestFit="1" customWidth="1"/>
    <col min="8" max="8" width="11.28515625" style="7" customWidth="1"/>
    <col min="9" max="9" width="10" style="7" bestFit="1" customWidth="1"/>
    <col min="10" max="11" width="6.7109375" style="7" customWidth="1"/>
    <col min="12" max="12" width="9.140625" style="7" customWidth="1"/>
    <col min="13" max="13" width="2.7109375" style="7" customWidth="1"/>
    <col min="14" max="14" width="10.42578125" style="7" customWidth="1"/>
    <col min="15" max="15" width="9.5703125" style="7" customWidth="1"/>
    <col min="16" max="16" width="11.140625" style="7" bestFit="1" customWidth="1"/>
    <col min="17" max="17" width="15.28515625" style="7" customWidth="1"/>
    <col min="18" max="18" width="9.85546875" style="7" bestFit="1" customWidth="1"/>
    <col min="19" max="20" width="7.5703125" style="7" customWidth="1"/>
    <col min="21" max="21" width="13.7109375" style="7" customWidth="1"/>
    <col min="22" max="22" width="9.140625" style="7" customWidth="1"/>
    <col min="23" max="23" width="9.140625" style="7"/>
    <col min="24" max="24" width="9.140625" style="7" customWidth="1"/>
    <col min="25" max="25" width="15.28515625" style="7" customWidth="1"/>
    <col min="26" max="26" width="3.28515625" style="7" customWidth="1"/>
    <col min="27" max="16384" width="9.140625" style="7"/>
  </cols>
  <sheetData>
    <row r="1" spans="1:28" x14ac:dyDescent="0.25">
      <c r="A1" s="168" t="s">
        <v>3</v>
      </c>
      <c r="B1" s="169"/>
      <c r="C1" s="169" t="s">
        <v>12</v>
      </c>
      <c r="D1" s="170"/>
      <c r="E1" s="169"/>
      <c r="F1" s="169"/>
      <c r="G1" s="169"/>
      <c r="H1" s="169"/>
      <c r="I1" s="169"/>
      <c r="J1" s="169"/>
      <c r="K1" s="301" t="s">
        <v>8</v>
      </c>
      <c r="L1" s="302"/>
      <c r="M1" s="20"/>
      <c r="N1" s="6" t="s">
        <v>9</v>
      </c>
      <c r="AA1" s="20"/>
    </row>
    <row r="2" spans="1:28" x14ac:dyDescent="0.25">
      <c r="A2" s="116" t="s">
        <v>4</v>
      </c>
      <c r="B2" s="320"/>
      <c r="C2" s="320" t="s">
        <v>13</v>
      </c>
      <c r="D2" s="320"/>
      <c r="E2" s="320"/>
      <c r="F2" s="320"/>
      <c r="G2" s="320"/>
      <c r="H2" s="320"/>
      <c r="I2" s="320"/>
      <c r="J2" s="320"/>
      <c r="K2" s="320"/>
      <c r="L2" s="334"/>
      <c r="M2" s="20"/>
      <c r="N2" s="7" t="s">
        <v>14</v>
      </c>
      <c r="AA2" s="20"/>
    </row>
    <row r="3" spans="1:28" x14ac:dyDescent="0.25">
      <c r="A3" s="116" t="s">
        <v>5</v>
      </c>
      <c r="B3" s="320"/>
      <c r="C3" s="320" t="s">
        <v>65</v>
      </c>
      <c r="D3" s="320"/>
      <c r="E3" s="320"/>
      <c r="F3" s="320"/>
      <c r="G3" s="320"/>
      <c r="H3" s="320"/>
      <c r="I3" s="320"/>
      <c r="J3" s="320"/>
      <c r="K3" s="320"/>
      <c r="L3" s="334"/>
      <c r="M3" s="20"/>
      <c r="N3" s="7" t="s">
        <v>15</v>
      </c>
      <c r="AA3" s="20"/>
    </row>
    <row r="4" spans="1:28" x14ac:dyDescent="0.25">
      <c r="A4" s="119"/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35"/>
      <c r="M4" s="8"/>
      <c r="N4" s="7" t="s">
        <v>522</v>
      </c>
      <c r="X4" s="9"/>
      <c r="Y4" s="9"/>
      <c r="AA4" s="8"/>
      <c r="AB4" s="9"/>
    </row>
    <row r="5" spans="1:28" ht="15" customHeight="1" x14ac:dyDescent="0.25">
      <c r="A5" s="122" t="s">
        <v>6</v>
      </c>
      <c r="B5" s="320"/>
      <c r="C5" s="320" t="s">
        <v>16</v>
      </c>
      <c r="D5" s="320"/>
      <c r="E5" s="320"/>
      <c r="F5" s="320"/>
      <c r="G5" s="320"/>
      <c r="H5" s="320"/>
      <c r="I5" s="320"/>
      <c r="J5" s="320"/>
      <c r="K5" s="321"/>
      <c r="L5" s="335"/>
      <c r="M5" s="8"/>
      <c r="X5" s="9"/>
      <c r="Y5" s="9"/>
      <c r="Z5" s="9"/>
      <c r="AA5" s="8"/>
      <c r="AB5" s="9"/>
    </row>
    <row r="6" spans="1:28" x14ac:dyDescent="0.25">
      <c r="A6" s="123"/>
      <c r="B6" s="320"/>
      <c r="C6" s="320"/>
      <c r="D6" s="320"/>
      <c r="E6" s="320"/>
      <c r="F6" s="320"/>
      <c r="G6" s="320"/>
      <c r="H6" s="336" t="s">
        <v>66</v>
      </c>
      <c r="I6" s="324"/>
      <c r="J6" s="324"/>
      <c r="K6" s="321"/>
      <c r="L6" s="335"/>
      <c r="M6" s="8"/>
      <c r="N6" s="7" t="s">
        <v>39</v>
      </c>
      <c r="X6" s="9"/>
      <c r="Y6" s="9"/>
      <c r="Z6" s="9"/>
      <c r="AA6" s="8"/>
      <c r="AB6" s="9"/>
    </row>
    <row r="7" spans="1:28" ht="15" customHeight="1" x14ac:dyDescent="0.25">
      <c r="A7" s="123"/>
      <c r="B7" s="320"/>
      <c r="C7" s="337">
        <f ca="1">DATE(YEAR(TODAY()),12,1)</f>
        <v>45627</v>
      </c>
      <c r="D7" s="201" t="s">
        <v>17</v>
      </c>
      <c r="E7" s="320"/>
      <c r="F7" s="320"/>
      <c r="G7" s="320"/>
      <c r="H7" s="225" t="s">
        <v>19</v>
      </c>
      <c r="I7" s="151" t="s">
        <v>27</v>
      </c>
      <c r="J7" s="153" t="s">
        <v>67</v>
      </c>
      <c r="K7" s="321"/>
      <c r="L7" s="335"/>
      <c r="M7" s="8"/>
      <c r="N7" s="7" t="s">
        <v>523</v>
      </c>
      <c r="X7" s="9"/>
      <c r="Y7" s="9"/>
      <c r="Z7" s="9"/>
      <c r="AA7" s="8"/>
      <c r="AB7" s="9"/>
    </row>
    <row r="8" spans="1:28" ht="15" customHeight="1" x14ac:dyDescent="0.25">
      <c r="A8" s="122"/>
      <c r="B8" s="321"/>
      <c r="C8" s="140" t="s">
        <v>18</v>
      </c>
      <c r="D8" s="338" t="s">
        <v>19</v>
      </c>
      <c r="E8" s="320"/>
      <c r="F8" s="320"/>
      <c r="G8" s="320"/>
      <c r="H8" s="136" t="s">
        <v>28</v>
      </c>
      <c r="I8" s="128" t="s">
        <v>24</v>
      </c>
      <c r="J8" s="136">
        <v>7.2</v>
      </c>
      <c r="K8" s="339"/>
      <c r="L8" s="335"/>
      <c r="M8" s="8"/>
      <c r="X8" s="9"/>
      <c r="Y8" s="9"/>
      <c r="Z8" s="9"/>
      <c r="AA8" s="8"/>
      <c r="AB8" s="9"/>
    </row>
    <row r="9" spans="1:28" x14ac:dyDescent="0.25">
      <c r="A9" s="122"/>
      <c r="B9" s="321"/>
      <c r="C9" s="340">
        <v>0.68</v>
      </c>
      <c r="D9" s="202" t="s">
        <v>20</v>
      </c>
      <c r="E9" s="320"/>
      <c r="F9" s="320"/>
      <c r="G9" s="320"/>
      <c r="H9" s="141" t="s">
        <v>28</v>
      </c>
      <c r="I9" s="132" t="s">
        <v>21</v>
      </c>
      <c r="J9" s="141">
        <v>9.4</v>
      </c>
      <c r="K9" s="339"/>
      <c r="L9" s="335"/>
      <c r="M9" s="8"/>
      <c r="N9" s="7" t="s">
        <v>40</v>
      </c>
      <c r="X9" s="9"/>
      <c r="Y9" s="9"/>
      <c r="Z9" s="9"/>
      <c r="AA9" s="8"/>
      <c r="AB9" s="9"/>
    </row>
    <row r="10" spans="1:28" x14ac:dyDescent="0.25">
      <c r="A10" s="122"/>
      <c r="B10" s="321"/>
      <c r="C10" s="320"/>
      <c r="D10" s="320"/>
      <c r="E10" s="320"/>
      <c r="F10" s="320"/>
      <c r="G10" s="320"/>
      <c r="H10" s="140" t="s">
        <v>29</v>
      </c>
      <c r="I10" s="147" t="s">
        <v>24</v>
      </c>
      <c r="J10" s="140">
        <v>3.5</v>
      </c>
      <c r="K10" s="339"/>
      <c r="L10" s="333"/>
      <c r="M10" s="8"/>
      <c r="N10" s="7" t="s">
        <v>68</v>
      </c>
      <c r="X10" s="9"/>
      <c r="Y10" s="9"/>
      <c r="Z10" s="9"/>
      <c r="AA10" s="8"/>
      <c r="AB10" s="9"/>
    </row>
    <row r="11" spans="1:28" x14ac:dyDescent="0.25">
      <c r="A11" s="119"/>
      <c r="B11" s="321"/>
      <c r="C11" s="320"/>
      <c r="D11" s="320"/>
      <c r="E11" s="320"/>
      <c r="F11" s="320"/>
      <c r="G11" s="320"/>
      <c r="H11" s="140" t="s">
        <v>29</v>
      </c>
      <c r="I11" s="147" t="s">
        <v>21</v>
      </c>
      <c r="J11" s="140">
        <v>4.2</v>
      </c>
      <c r="K11" s="339"/>
      <c r="L11" s="333"/>
      <c r="M11" s="8"/>
      <c r="N11" s="7" t="s">
        <v>69</v>
      </c>
      <c r="X11" s="9"/>
      <c r="Y11" s="9"/>
      <c r="Z11" s="9"/>
      <c r="AA11" s="8"/>
      <c r="AB11" s="9"/>
    </row>
    <row r="12" spans="1:28" x14ac:dyDescent="0.25">
      <c r="A12" s="119"/>
      <c r="B12" s="321"/>
      <c r="C12" s="320"/>
      <c r="D12" s="320"/>
      <c r="E12" s="320"/>
      <c r="F12" s="320"/>
      <c r="G12" s="320"/>
      <c r="H12" s="136" t="s">
        <v>25</v>
      </c>
      <c r="I12" s="128" t="s">
        <v>24</v>
      </c>
      <c r="J12" s="136">
        <v>2.5</v>
      </c>
      <c r="K12" s="339"/>
      <c r="L12" s="333"/>
      <c r="M12" s="8"/>
      <c r="N12" s="7" t="s">
        <v>70</v>
      </c>
      <c r="X12" s="9"/>
      <c r="Y12" s="9"/>
      <c r="Z12" s="9"/>
      <c r="AA12" s="8"/>
      <c r="AB12" s="9"/>
    </row>
    <row r="13" spans="1:28" x14ac:dyDescent="0.25">
      <c r="A13" s="119"/>
      <c r="B13" s="321"/>
      <c r="C13" s="320"/>
      <c r="D13" s="320"/>
      <c r="E13" s="320"/>
      <c r="F13" s="320"/>
      <c r="G13" s="320"/>
      <c r="H13" s="141" t="s">
        <v>25</v>
      </c>
      <c r="I13" s="132" t="s">
        <v>21</v>
      </c>
      <c r="J13" s="141">
        <v>3.6</v>
      </c>
      <c r="K13" s="339"/>
      <c r="L13" s="333"/>
      <c r="M13" s="8"/>
      <c r="X13" s="9"/>
      <c r="Y13" s="9"/>
      <c r="Z13" s="9"/>
      <c r="AA13" s="8"/>
      <c r="AB13" s="9"/>
    </row>
    <row r="14" spans="1:28" x14ac:dyDescent="0.25">
      <c r="A14" s="119"/>
      <c r="B14" s="321"/>
      <c r="C14" s="320"/>
      <c r="D14" s="320"/>
      <c r="E14" s="320"/>
      <c r="F14" s="320"/>
      <c r="G14" s="320"/>
      <c r="H14" s="140" t="s">
        <v>71</v>
      </c>
      <c r="I14" s="147" t="s">
        <v>24</v>
      </c>
      <c r="J14" s="140">
        <v>7.7</v>
      </c>
      <c r="K14" s="339"/>
      <c r="L14" s="335"/>
      <c r="M14" s="8"/>
      <c r="N14" s="7" t="s">
        <v>72</v>
      </c>
      <c r="X14" s="9"/>
      <c r="Y14" s="9"/>
      <c r="Z14" s="9"/>
      <c r="AA14" s="8"/>
      <c r="AB14" s="9"/>
    </row>
    <row r="15" spans="1:28" x14ac:dyDescent="0.25">
      <c r="A15" s="119"/>
      <c r="B15" s="321"/>
      <c r="C15" s="327"/>
      <c r="D15" s="320"/>
      <c r="E15" s="320"/>
      <c r="F15" s="320"/>
      <c r="G15" s="320"/>
      <c r="H15" s="141" t="s">
        <v>71</v>
      </c>
      <c r="I15" s="132" t="s">
        <v>21</v>
      </c>
      <c r="J15" s="141">
        <v>6.1</v>
      </c>
      <c r="K15" s="339"/>
      <c r="L15" s="335"/>
      <c r="M15" s="8"/>
      <c r="N15" s="7" t="s">
        <v>73</v>
      </c>
      <c r="X15" s="9"/>
      <c r="Y15" s="9"/>
      <c r="Z15" s="9"/>
      <c r="AA15" s="8"/>
      <c r="AB15" s="9"/>
    </row>
    <row r="16" spans="1:28" x14ac:dyDescent="0.25">
      <c r="A16" s="119"/>
      <c r="B16" s="321"/>
      <c r="C16" s="327"/>
      <c r="D16" s="320"/>
      <c r="E16" s="320"/>
      <c r="F16" s="320"/>
      <c r="G16" s="320"/>
      <c r="H16" s="314"/>
      <c r="I16" s="314"/>
      <c r="J16" s="320"/>
      <c r="K16" s="321"/>
      <c r="L16" s="335"/>
      <c r="M16" s="8"/>
      <c r="X16" s="9"/>
      <c r="Y16" s="9"/>
      <c r="Z16" s="9"/>
      <c r="AA16" s="8"/>
      <c r="AB16" s="9"/>
    </row>
    <row r="17" spans="1:28" x14ac:dyDescent="0.25">
      <c r="A17" s="119"/>
      <c r="B17" s="321"/>
      <c r="C17" s="341" t="s">
        <v>41</v>
      </c>
      <c r="D17" s="320"/>
      <c r="E17" s="320"/>
      <c r="F17" s="320"/>
      <c r="G17" s="320"/>
      <c r="H17" s="336" t="s">
        <v>74</v>
      </c>
      <c r="I17" s="336"/>
      <c r="J17" s="336"/>
      <c r="K17" s="342"/>
      <c r="L17" s="335"/>
      <c r="M17" s="8"/>
      <c r="N17" s="46" t="s">
        <v>42</v>
      </c>
      <c r="O17" s="46" t="s">
        <v>43</v>
      </c>
      <c r="P17" s="46" t="s">
        <v>44</v>
      </c>
      <c r="Q17" s="53" t="s">
        <v>45</v>
      </c>
      <c r="R17" s="46" t="s">
        <v>46</v>
      </c>
      <c r="S17" s="54" t="s">
        <v>47</v>
      </c>
      <c r="T17" s="46" t="s">
        <v>48</v>
      </c>
      <c r="U17" s="54" t="s">
        <v>49</v>
      </c>
      <c r="V17" s="46" t="s">
        <v>50</v>
      </c>
      <c r="W17" s="54" t="s">
        <v>51</v>
      </c>
      <c r="X17" s="46" t="s">
        <v>52</v>
      </c>
      <c r="Y17" s="55" t="s">
        <v>75</v>
      </c>
      <c r="Z17" s="9"/>
      <c r="AA17" s="8"/>
      <c r="AB17" s="9"/>
    </row>
    <row r="18" spans="1:28" ht="45" x14ac:dyDescent="0.25">
      <c r="A18" s="123"/>
      <c r="B18" s="320"/>
      <c r="C18" s="151" t="s">
        <v>17</v>
      </c>
      <c r="D18" s="126" t="s">
        <v>19</v>
      </c>
      <c r="E18" s="343" t="s">
        <v>76</v>
      </c>
      <c r="F18" s="343" t="s">
        <v>53</v>
      </c>
      <c r="G18" s="344"/>
      <c r="H18" s="320"/>
      <c r="I18" s="324" t="s">
        <v>77</v>
      </c>
      <c r="J18" s="324"/>
      <c r="K18" s="321"/>
      <c r="L18" s="335"/>
      <c r="M18" s="8"/>
      <c r="N18" s="25" t="s">
        <v>54</v>
      </c>
      <c r="O18" s="25" t="s">
        <v>27</v>
      </c>
      <c r="P18" s="25" t="s">
        <v>19</v>
      </c>
      <c r="Q18" s="56" t="s">
        <v>78</v>
      </c>
      <c r="R18" s="25" t="s">
        <v>79</v>
      </c>
      <c r="S18" s="39" t="s">
        <v>80</v>
      </c>
      <c r="T18" s="25" t="s">
        <v>55</v>
      </c>
      <c r="U18" s="39" t="s">
        <v>56</v>
      </c>
      <c r="V18" s="25" t="s">
        <v>57</v>
      </c>
      <c r="W18" s="39" t="s">
        <v>58</v>
      </c>
      <c r="X18" s="25" t="s">
        <v>59</v>
      </c>
      <c r="Y18" s="47" t="s">
        <v>60</v>
      </c>
      <c r="Z18" s="9"/>
      <c r="AA18" s="8"/>
      <c r="AB18" s="9"/>
    </row>
    <row r="19" spans="1:28" ht="15" customHeight="1" x14ac:dyDescent="0.25">
      <c r="A19" s="123"/>
      <c r="B19" s="320"/>
      <c r="C19" s="337">
        <f ca="1">DATE(YEAR(TODAY())-1,12,1)</f>
        <v>45261</v>
      </c>
      <c r="D19" s="221" t="s">
        <v>61</v>
      </c>
      <c r="E19" s="136" t="s">
        <v>81</v>
      </c>
      <c r="F19" s="226">
        <v>75000</v>
      </c>
      <c r="G19" s="320"/>
      <c r="H19" s="320"/>
      <c r="I19" s="314" t="s">
        <v>82</v>
      </c>
      <c r="J19" s="314" t="s">
        <v>83</v>
      </c>
      <c r="K19" s="314" t="s">
        <v>84</v>
      </c>
      <c r="L19" s="335"/>
      <c r="M19" s="8"/>
      <c r="N19" s="33">
        <f ca="1">YEAR(C20)</f>
        <v>2022</v>
      </c>
      <c r="O19" s="31" t="s">
        <v>24</v>
      </c>
      <c r="P19" s="33" t="s">
        <v>29</v>
      </c>
      <c r="Q19" s="57">
        <f>F20</f>
        <v>63000</v>
      </c>
      <c r="R19" s="38">
        <f t="shared" ref="R19:R24" si="0">J10</f>
        <v>3.5</v>
      </c>
      <c r="S19" s="58">
        <f>K20</f>
        <v>1.63</v>
      </c>
      <c r="T19" s="59">
        <f>$C$9</f>
        <v>0.68</v>
      </c>
      <c r="U19" s="60">
        <f>PRODUCT(Q19:T19)</f>
        <v>244402.2</v>
      </c>
      <c r="V19" s="61">
        <v>1</v>
      </c>
      <c r="W19" s="62">
        <v>1</v>
      </c>
      <c r="X19" s="38">
        <f t="shared" ref="X19:X24" si="1">F40</f>
        <v>0.92600000000000005</v>
      </c>
      <c r="Y19" s="48">
        <f>PRODUCT(U19:X19)</f>
        <v>226316.43720000001</v>
      </c>
      <c r="Z19" s="9"/>
      <c r="AA19" s="8"/>
      <c r="AB19" s="9"/>
    </row>
    <row r="20" spans="1:28" ht="15" customHeight="1" x14ac:dyDescent="0.25">
      <c r="A20" s="123"/>
      <c r="B20" s="320"/>
      <c r="C20" s="331">
        <f ca="1">DATE(YEAR(TODAY())-2,12,1)</f>
        <v>44896</v>
      </c>
      <c r="D20" s="139" t="s">
        <v>62</v>
      </c>
      <c r="E20" s="140" t="s">
        <v>85</v>
      </c>
      <c r="F20" s="226">
        <v>63000</v>
      </c>
      <c r="G20" s="320"/>
      <c r="H20" s="345" t="s">
        <v>86</v>
      </c>
      <c r="I20" s="346">
        <v>1</v>
      </c>
      <c r="J20" s="347">
        <v>1.35</v>
      </c>
      <c r="K20" s="348">
        <v>1.63</v>
      </c>
      <c r="L20" s="335"/>
      <c r="M20" s="8"/>
      <c r="N20" s="25">
        <f ca="1">YEAR(C20)</f>
        <v>2022</v>
      </c>
      <c r="O20" s="32" t="s">
        <v>21</v>
      </c>
      <c r="P20" s="25" t="s">
        <v>29</v>
      </c>
      <c r="Q20" s="63">
        <f>F20</f>
        <v>63000</v>
      </c>
      <c r="R20" s="40">
        <f t="shared" si="0"/>
        <v>4.2</v>
      </c>
      <c r="S20" s="64">
        <f>K20</f>
        <v>1.63</v>
      </c>
      <c r="T20" s="65">
        <f t="shared" ref="T20:T24" si="2">$C$9</f>
        <v>0.68</v>
      </c>
      <c r="U20" s="66">
        <f t="shared" ref="U20:U24" si="3">PRODUCT(Q20:T20)</f>
        <v>293282.64</v>
      </c>
      <c r="V20" s="67">
        <v>1</v>
      </c>
      <c r="W20" s="68">
        <v>1</v>
      </c>
      <c r="X20" s="40">
        <f t="shared" si="1"/>
        <v>0.90100000000000002</v>
      </c>
      <c r="Y20" s="49">
        <f t="shared" ref="Y20:Y24" si="4">PRODUCT(U20:X20)</f>
        <v>264247.65864000004</v>
      </c>
      <c r="Z20" s="9"/>
      <c r="AA20" s="8"/>
      <c r="AB20" s="9"/>
    </row>
    <row r="21" spans="1:28" x14ac:dyDescent="0.25">
      <c r="A21" s="123"/>
      <c r="B21" s="320"/>
      <c r="C21" s="331">
        <f ca="1">DATE(YEAR(TODAY())-3,12,1)</f>
        <v>44531</v>
      </c>
      <c r="D21" s="139" t="s">
        <v>22</v>
      </c>
      <c r="E21" s="140" t="s">
        <v>87</v>
      </c>
      <c r="F21" s="226">
        <v>42000</v>
      </c>
      <c r="G21" s="320"/>
      <c r="H21" s="345" t="s">
        <v>88</v>
      </c>
      <c r="I21" s="349">
        <v>1.1499999999999999</v>
      </c>
      <c r="J21" s="350">
        <v>1.29</v>
      </c>
      <c r="K21" s="351">
        <v>1.81</v>
      </c>
      <c r="L21" s="335"/>
      <c r="M21" s="8"/>
      <c r="N21" s="33">
        <f ca="1">YEAR(C21)</f>
        <v>2021</v>
      </c>
      <c r="O21" s="31" t="s">
        <v>24</v>
      </c>
      <c r="P21" s="33" t="s">
        <v>25</v>
      </c>
      <c r="Q21" s="57">
        <f>F21</f>
        <v>42000</v>
      </c>
      <c r="R21" s="38">
        <f t="shared" si="0"/>
        <v>2.5</v>
      </c>
      <c r="S21" s="58">
        <f>J20</f>
        <v>1.35</v>
      </c>
      <c r="T21" s="59">
        <f t="shared" si="2"/>
        <v>0.68</v>
      </c>
      <c r="U21" s="60">
        <f t="shared" si="3"/>
        <v>96390</v>
      </c>
      <c r="V21" s="61">
        <v>1</v>
      </c>
      <c r="W21" s="62">
        <v>1</v>
      </c>
      <c r="X21" s="38">
        <f t="shared" si="1"/>
        <v>0.89200000000000002</v>
      </c>
      <c r="Y21" s="48">
        <f t="shared" si="4"/>
        <v>85979.88</v>
      </c>
      <c r="Z21" s="9"/>
      <c r="AA21" s="8"/>
      <c r="AB21" s="9"/>
    </row>
    <row r="22" spans="1:28" x14ac:dyDescent="0.25">
      <c r="A22" s="123"/>
      <c r="B22" s="320"/>
      <c r="C22" s="352">
        <f ca="1">DATE(YEAR(TODAY())-4,12,1)</f>
        <v>44166</v>
      </c>
      <c r="D22" s="144" t="s">
        <v>23</v>
      </c>
      <c r="E22" s="141" t="s">
        <v>89</v>
      </c>
      <c r="F22" s="227">
        <v>29000</v>
      </c>
      <c r="G22" s="320"/>
      <c r="H22" s="345" t="s">
        <v>83</v>
      </c>
      <c r="I22" s="353">
        <v>1.33</v>
      </c>
      <c r="J22" s="354">
        <v>1.46</v>
      </c>
      <c r="K22" s="281">
        <v>1.95</v>
      </c>
      <c r="L22" s="335"/>
      <c r="M22" s="8"/>
      <c r="N22" s="25">
        <f ca="1">YEAR(C21)</f>
        <v>2021</v>
      </c>
      <c r="O22" s="32" t="s">
        <v>21</v>
      </c>
      <c r="P22" s="25" t="s">
        <v>25</v>
      </c>
      <c r="Q22" s="63">
        <f>F21</f>
        <v>42000</v>
      </c>
      <c r="R22" s="40">
        <f t="shared" si="0"/>
        <v>3.6</v>
      </c>
      <c r="S22" s="64">
        <f>J20</f>
        <v>1.35</v>
      </c>
      <c r="T22" s="65">
        <f t="shared" si="2"/>
        <v>0.68</v>
      </c>
      <c r="U22" s="66">
        <f t="shared" si="3"/>
        <v>138801.60000000001</v>
      </c>
      <c r="V22" s="67">
        <v>1</v>
      </c>
      <c r="W22" s="68">
        <v>1</v>
      </c>
      <c r="X22" s="40">
        <f t="shared" si="1"/>
        <v>0.85399999999999998</v>
      </c>
      <c r="Y22" s="49">
        <f t="shared" si="4"/>
        <v>118536.5664</v>
      </c>
      <c r="Z22" s="9"/>
      <c r="AA22" s="8"/>
      <c r="AB22" s="9"/>
    </row>
    <row r="23" spans="1:28" x14ac:dyDescent="0.25">
      <c r="A23" s="123"/>
      <c r="B23" s="320"/>
      <c r="C23" s="320"/>
      <c r="D23" s="320"/>
      <c r="E23" s="320"/>
      <c r="F23" s="320"/>
      <c r="G23" s="320"/>
      <c r="H23" s="320"/>
      <c r="I23" s="320"/>
      <c r="J23" s="320"/>
      <c r="K23" s="321"/>
      <c r="L23" s="335"/>
      <c r="M23" s="8"/>
      <c r="N23" s="24">
        <f ca="1">YEAR(C22)</f>
        <v>2020</v>
      </c>
      <c r="O23" s="28" t="s">
        <v>24</v>
      </c>
      <c r="P23" s="24" t="s">
        <v>23</v>
      </c>
      <c r="Q23" s="69">
        <f>F22</f>
        <v>29000</v>
      </c>
      <c r="R23" s="41">
        <f t="shared" si="0"/>
        <v>7.7</v>
      </c>
      <c r="S23" s="70">
        <f>I20</f>
        <v>1</v>
      </c>
      <c r="T23" s="71">
        <f t="shared" si="2"/>
        <v>0.68</v>
      </c>
      <c r="U23" s="72">
        <f t="shared" si="3"/>
        <v>151844</v>
      </c>
      <c r="V23" s="73">
        <v>1</v>
      </c>
      <c r="W23" s="74">
        <v>1</v>
      </c>
      <c r="X23" s="41">
        <f t="shared" si="1"/>
        <v>0.85799999999999998</v>
      </c>
      <c r="Y23" s="50">
        <f t="shared" si="4"/>
        <v>130282.152</v>
      </c>
      <c r="Z23" s="9"/>
      <c r="AA23" s="8"/>
      <c r="AB23" s="9"/>
    </row>
    <row r="24" spans="1:28" x14ac:dyDescent="0.25">
      <c r="A24" s="116" t="s">
        <v>7</v>
      </c>
      <c r="B24" s="320"/>
      <c r="C24" s="320" t="s">
        <v>90</v>
      </c>
      <c r="D24" s="320"/>
      <c r="E24" s="320"/>
      <c r="F24" s="320"/>
      <c r="G24" s="320"/>
      <c r="H24" s="320"/>
      <c r="I24" s="320"/>
      <c r="J24" s="320"/>
      <c r="K24" s="321"/>
      <c r="L24" s="335"/>
      <c r="M24" s="8"/>
      <c r="N24" s="25">
        <f ca="1">YEAR(C22)</f>
        <v>2020</v>
      </c>
      <c r="O24" s="32" t="s">
        <v>21</v>
      </c>
      <c r="P24" s="25" t="s">
        <v>23</v>
      </c>
      <c r="Q24" s="63">
        <f>F22</f>
        <v>29000</v>
      </c>
      <c r="R24" s="40">
        <f t="shared" si="0"/>
        <v>6.1</v>
      </c>
      <c r="S24" s="64">
        <f>I20</f>
        <v>1</v>
      </c>
      <c r="T24" s="65">
        <f t="shared" si="2"/>
        <v>0.68</v>
      </c>
      <c r="U24" s="66">
        <f t="shared" si="3"/>
        <v>120292.00000000001</v>
      </c>
      <c r="V24" s="67">
        <v>1</v>
      </c>
      <c r="W24" s="68">
        <f>D36</f>
        <v>1</v>
      </c>
      <c r="X24" s="51">
        <f t="shared" si="1"/>
        <v>0.81</v>
      </c>
      <c r="Y24" s="49">
        <f t="shared" si="4"/>
        <v>97436.520000000019</v>
      </c>
      <c r="Z24" s="9"/>
      <c r="AA24" s="8"/>
      <c r="AB24" s="9"/>
    </row>
    <row r="25" spans="1:28" ht="15.75" thickBot="1" x14ac:dyDescent="0.3">
      <c r="A25" s="123"/>
      <c r="B25" s="320"/>
      <c r="C25" s="320" t="s">
        <v>91</v>
      </c>
      <c r="D25" s="320"/>
      <c r="E25" s="320"/>
      <c r="F25" s="320"/>
      <c r="G25" s="320"/>
      <c r="H25" s="320"/>
      <c r="I25" s="320"/>
      <c r="J25" s="320"/>
      <c r="K25" s="321"/>
      <c r="L25" s="335"/>
      <c r="M25" s="8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52" t="s">
        <v>63</v>
      </c>
      <c r="Y25" s="42">
        <f>SUM(Y19:Y24)</f>
        <v>922799.21424000012</v>
      </c>
      <c r="Z25" s="9"/>
      <c r="AA25" s="8"/>
      <c r="AB25" s="9"/>
    </row>
    <row r="26" spans="1:28" x14ac:dyDescent="0.25">
      <c r="A26" s="123"/>
      <c r="B26" s="320"/>
      <c r="C26" s="320"/>
      <c r="D26" s="320"/>
      <c r="E26" s="320"/>
      <c r="F26" s="320"/>
      <c r="G26" s="320"/>
      <c r="H26" s="320"/>
      <c r="I26" s="320"/>
      <c r="J26" s="320"/>
      <c r="K26" s="321"/>
      <c r="L26" s="335"/>
      <c r="M26" s="8"/>
      <c r="Z26" s="9"/>
      <c r="AA26" s="8"/>
      <c r="AB26" s="9"/>
    </row>
    <row r="27" spans="1:28" ht="15" customHeight="1" x14ac:dyDescent="0.25">
      <c r="A27" s="123"/>
      <c r="B27" s="320"/>
      <c r="C27" s="320"/>
      <c r="D27" s="320"/>
      <c r="E27" s="320"/>
      <c r="F27" s="320"/>
      <c r="G27" s="320"/>
      <c r="H27" s="320"/>
      <c r="I27" s="320"/>
      <c r="J27" s="320"/>
      <c r="K27" s="321"/>
      <c r="L27" s="335"/>
      <c r="M27" s="8"/>
      <c r="N27" s="6" t="s">
        <v>30</v>
      </c>
      <c r="Z27" s="9"/>
      <c r="AA27" s="8"/>
      <c r="AB27" s="9"/>
    </row>
    <row r="28" spans="1:28" ht="15" customHeight="1" x14ac:dyDescent="0.25">
      <c r="A28" s="123"/>
      <c r="B28" s="320"/>
      <c r="C28" s="341" t="s">
        <v>26</v>
      </c>
      <c r="D28" s="320"/>
      <c r="E28" s="320"/>
      <c r="F28" s="320"/>
      <c r="G28" s="320"/>
      <c r="H28" s="320"/>
      <c r="I28" s="320"/>
      <c r="J28" s="320"/>
      <c r="K28" s="321"/>
      <c r="L28" s="335"/>
      <c r="M28" s="8"/>
      <c r="N28" s="7" t="s">
        <v>92</v>
      </c>
      <c r="Z28" s="9"/>
      <c r="AA28" s="8"/>
      <c r="AB28" s="9"/>
    </row>
    <row r="29" spans="1:28" ht="15" customHeight="1" x14ac:dyDescent="0.25">
      <c r="A29" s="123"/>
      <c r="B29" s="320"/>
      <c r="C29" s="225" t="s">
        <v>27</v>
      </c>
      <c r="D29" s="151" t="s">
        <v>23</v>
      </c>
      <c r="E29" s="151" t="s">
        <v>64</v>
      </c>
      <c r="F29" s="152" t="s">
        <v>28</v>
      </c>
      <c r="G29" s="151" t="s">
        <v>29</v>
      </c>
      <c r="H29" s="151" t="s">
        <v>25</v>
      </c>
      <c r="I29" s="320"/>
      <c r="J29" s="320"/>
      <c r="K29" s="321"/>
      <c r="L29" s="335"/>
      <c r="M29" s="8"/>
      <c r="N29" s="7" t="s">
        <v>93</v>
      </c>
      <c r="Z29" s="9"/>
      <c r="AA29" s="8"/>
      <c r="AB29" s="9"/>
    </row>
    <row r="30" spans="1:28" ht="15" customHeight="1" x14ac:dyDescent="0.25">
      <c r="A30" s="123"/>
      <c r="B30" s="320"/>
      <c r="C30" s="147" t="s">
        <v>24</v>
      </c>
      <c r="D30" s="157">
        <v>1</v>
      </c>
      <c r="E30" s="157">
        <v>1.1399999999999999</v>
      </c>
      <c r="F30" s="326">
        <v>1.2</v>
      </c>
      <c r="G30" s="140">
        <v>1.32</v>
      </c>
      <c r="H30" s="140">
        <v>1.62</v>
      </c>
      <c r="I30" s="320"/>
      <c r="J30" s="320"/>
      <c r="K30" s="321"/>
      <c r="L30" s="335"/>
      <c r="M30" s="8"/>
      <c r="N30" s="7" t="s">
        <v>94</v>
      </c>
      <c r="Z30" s="9"/>
      <c r="AA30" s="8"/>
      <c r="AB30" s="9"/>
    </row>
    <row r="31" spans="1:28" ht="15" customHeight="1" x14ac:dyDescent="0.25">
      <c r="A31" s="123"/>
      <c r="B31" s="320"/>
      <c r="C31" s="132" t="s">
        <v>21</v>
      </c>
      <c r="D31" s="162">
        <v>1</v>
      </c>
      <c r="E31" s="141">
        <v>1.51</v>
      </c>
      <c r="F31" s="154">
        <v>1.59</v>
      </c>
      <c r="G31" s="141">
        <v>2.0299999999999998</v>
      </c>
      <c r="H31" s="141">
        <v>2.39</v>
      </c>
      <c r="I31" s="320"/>
      <c r="J31" s="320"/>
      <c r="K31" s="321"/>
      <c r="L31" s="335"/>
      <c r="M31" s="8"/>
      <c r="N31" s="7" t="s">
        <v>95</v>
      </c>
      <c r="Z31" s="9"/>
      <c r="AA31" s="8"/>
      <c r="AB31" s="9"/>
    </row>
    <row r="32" spans="1:28" ht="15" customHeight="1" x14ac:dyDescent="0.25">
      <c r="A32" s="123"/>
      <c r="B32" s="320"/>
      <c r="C32" s="320"/>
      <c r="D32" s="320"/>
      <c r="E32" s="320"/>
      <c r="F32" s="320"/>
      <c r="G32" s="320"/>
      <c r="H32" s="320"/>
      <c r="I32" s="320"/>
      <c r="J32" s="320"/>
      <c r="K32" s="321"/>
      <c r="L32" s="335"/>
      <c r="M32" s="8"/>
      <c r="N32" s="7" t="s">
        <v>96</v>
      </c>
      <c r="Z32" s="9"/>
      <c r="AA32" s="8"/>
      <c r="AB32" s="9"/>
    </row>
    <row r="33" spans="1:28" x14ac:dyDescent="0.25">
      <c r="A33" s="123"/>
      <c r="B33" s="320"/>
      <c r="C33" s="355" t="s">
        <v>31</v>
      </c>
      <c r="D33" s="320"/>
      <c r="E33" s="320"/>
      <c r="F33" s="320"/>
      <c r="G33" s="320"/>
      <c r="H33" s="320"/>
      <c r="I33" s="320"/>
      <c r="J33" s="320"/>
      <c r="K33" s="321"/>
      <c r="L33" s="335"/>
      <c r="M33" s="8"/>
      <c r="N33" s="7" t="s">
        <v>97</v>
      </c>
      <c r="Z33" s="9"/>
      <c r="AA33" s="8"/>
      <c r="AB33" s="9"/>
    </row>
    <row r="34" spans="1:28" x14ac:dyDescent="0.25">
      <c r="A34" s="123"/>
      <c r="B34" s="320"/>
      <c r="C34" s="225" t="s">
        <v>27</v>
      </c>
      <c r="D34" s="151" t="s">
        <v>23</v>
      </c>
      <c r="E34" s="151" t="s">
        <v>64</v>
      </c>
      <c r="F34" s="152" t="s">
        <v>28</v>
      </c>
      <c r="G34" s="151" t="s">
        <v>29</v>
      </c>
      <c r="H34" s="151" t="s">
        <v>25</v>
      </c>
      <c r="I34" s="320"/>
      <c r="J34" s="320"/>
      <c r="K34" s="321"/>
      <c r="L34" s="335"/>
      <c r="M34" s="8"/>
      <c r="Z34" s="9"/>
      <c r="AA34" s="8"/>
      <c r="AB34" s="9"/>
    </row>
    <row r="35" spans="1:28" x14ac:dyDescent="0.25">
      <c r="A35" s="123"/>
      <c r="B35" s="320"/>
      <c r="C35" s="147" t="s">
        <v>24</v>
      </c>
      <c r="D35" s="157">
        <v>1</v>
      </c>
      <c r="E35" s="140">
        <v>0.84</v>
      </c>
      <c r="F35" s="326">
        <v>0.78</v>
      </c>
      <c r="G35" s="140">
        <v>0.67</v>
      </c>
      <c r="H35" s="140">
        <v>0.47</v>
      </c>
      <c r="I35" s="320"/>
      <c r="J35" s="320"/>
      <c r="K35" s="321"/>
      <c r="L35" s="335"/>
      <c r="M35" s="8"/>
      <c r="Z35" s="9"/>
      <c r="AA35" s="8"/>
      <c r="AB35" s="9"/>
    </row>
    <row r="36" spans="1:28" x14ac:dyDescent="0.25">
      <c r="A36" s="123"/>
      <c r="B36" s="320"/>
      <c r="C36" s="132" t="s">
        <v>21</v>
      </c>
      <c r="D36" s="162">
        <v>1</v>
      </c>
      <c r="E36" s="141">
        <v>0.49</v>
      </c>
      <c r="F36" s="154">
        <v>0.43</v>
      </c>
      <c r="G36" s="141">
        <v>0.35</v>
      </c>
      <c r="H36" s="141">
        <v>0.22</v>
      </c>
      <c r="I36" s="320"/>
      <c r="J36" s="320"/>
      <c r="K36" s="321"/>
      <c r="L36" s="335"/>
      <c r="M36" s="8"/>
      <c r="Z36" s="9"/>
      <c r="AA36" s="8"/>
      <c r="AB36" s="9"/>
    </row>
    <row r="37" spans="1:28" x14ac:dyDescent="0.25">
      <c r="A37" s="123"/>
      <c r="B37" s="320"/>
      <c r="C37" s="320"/>
      <c r="D37" s="320"/>
      <c r="E37" s="320"/>
      <c r="F37" s="320"/>
      <c r="G37" s="320"/>
      <c r="H37" s="320"/>
      <c r="I37" s="320"/>
      <c r="J37" s="320"/>
      <c r="K37" s="321"/>
      <c r="L37" s="335"/>
      <c r="M37" s="8"/>
      <c r="Z37" s="9"/>
      <c r="AA37" s="8"/>
      <c r="AB37" s="9"/>
    </row>
    <row r="38" spans="1:28" x14ac:dyDescent="0.25">
      <c r="A38" s="123"/>
      <c r="B38" s="320"/>
      <c r="C38" s="355" t="s">
        <v>32</v>
      </c>
      <c r="D38" s="320"/>
      <c r="E38" s="320"/>
      <c r="F38" s="320"/>
      <c r="G38" s="320"/>
      <c r="H38" s="320"/>
      <c r="I38" s="320"/>
      <c r="J38" s="320"/>
      <c r="K38" s="321"/>
      <c r="L38" s="335"/>
      <c r="M38" s="8"/>
      <c r="Z38" s="9"/>
      <c r="AA38" s="8"/>
      <c r="AB38" s="9"/>
    </row>
    <row r="39" spans="1:28" ht="45" x14ac:dyDescent="0.25">
      <c r="A39" s="123"/>
      <c r="B39" s="320"/>
      <c r="C39" s="343" t="s">
        <v>33</v>
      </c>
      <c r="D39" s="225" t="s">
        <v>27</v>
      </c>
      <c r="E39" s="151" t="s">
        <v>34</v>
      </c>
      <c r="F39" s="153" t="s">
        <v>35</v>
      </c>
      <c r="G39" s="320"/>
      <c r="H39" s="320"/>
      <c r="I39" s="320"/>
      <c r="J39" s="320"/>
      <c r="K39" s="321"/>
      <c r="L39" s="335"/>
      <c r="M39" s="8"/>
      <c r="U39" s="9"/>
      <c r="V39" s="9"/>
      <c r="W39" s="9"/>
      <c r="X39" s="9"/>
      <c r="Y39" s="9"/>
      <c r="Z39" s="9"/>
      <c r="AA39" s="8"/>
      <c r="AB39" s="9"/>
    </row>
    <row r="40" spans="1:28" x14ac:dyDescent="0.25">
      <c r="A40" s="123"/>
      <c r="B40" s="320"/>
      <c r="C40" s="356" t="s">
        <v>36</v>
      </c>
      <c r="D40" s="128" t="s">
        <v>24</v>
      </c>
      <c r="E40" s="136">
        <v>0.90700000000000003</v>
      </c>
      <c r="F40" s="136">
        <v>0.92600000000000005</v>
      </c>
      <c r="G40" s="320"/>
      <c r="H40" s="320"/>
      <c r="I40" s="320"/>
      <c r="J40" s="320"/>
      <c r="K40" s="321"/>
      <c r="L40" s="335"/>
      <c r="M40" s="8"/>
      <c r="U40" s="9"/>
      <c r="V40" s="9"/>
      <c r="W40" s="9"/>
      <c r="X40" s="9"/>
      <c r="Y40" s="9"/>
      <c r="Z40" s="9"/>
      <c r="AA40" s="8"/>
      <c r="AB40" s="9"/>
    </row>
    <row r="41" spans="1:28" x14ac:dyDescent="0.25">
      <c r="A41" s="123"/>
      <c r="B41" s="320"/>
      <c r="C41" s="357"/>
      <c r="D41" s="132" t="s">
        <v>21</v>
      </c>
      <c r="E41" s="141">
        <v>0.88200000000000001</v>
      </c>
      <c r="F41" s="141">
        <v>0.90100000000000002</v>
      </c>
      <c r="G41" s="320"/>
      <c r="H41" s="320"/>
      <c r="I41" s="320"/>
      <c r="J41" s="320"/>
      <c r="K41" s="321"/>
      <c r="L41" s="335"/>
      <c r="M41" s="8"/>
      <c r="U41" s="9"/>
      <c r="V41" s="9"/>
      <c r="W41" s="9"/>
      <c r="X41" s="9"/>
      <c r="Y41" s="9"/>
      <c r="Z41" s="9"/>
      <c r="AA41" s="8"/>
      <c r="AB41" s="9"/>
    </row>
    <row r="42" spans="1:28" x14ac:dyDescent="0.25">
      <c r="A42" s="123"/>
      <c r="B42" s="320"/>
      <c r="C42" s="356" t="s">
        <v>37</v>
      </c>
      <c r="D42" s="128" t="s">
        <v>24</v>
      </c>
      <c r="E42" s="136">
        <v>0.86399999999999999</v>
      </c>
      <c r="F42" s="136">
        <v>0.89200000000000002</v>
      </c>
      <c r="G42" s="320"/>
      <c r="H42" s="320"/>
      <c r="I42" s="320"/>
      <c r="J42" s="320"/>
      <c r="K42" s="321"/>
      <c r="L42" s="335"/>
      <c r="M42" s="8"/>
      <c r="U42" s="9"/>
      <c r="V42" s="9"/>
      <c r="W42" s="9"/>
      <c r="X42" s="9"/>
      <c r="Y42" s="9"/>
      <c r="Z42" s="9"/>
      <c r="AA42" s="8"/>
      <c r="AB42" s="9"/>
    </row>
    <row r="43" spans="1:28" x14ac:dyDescent="0.25">
      <c r="A43" s="119"/>
      <c r="B43" s="321"/>
      <c r="C43" s="357"/>
      <c r="D43" s="132" t="s">
        <v>21</v>
      </c>
      <c r="E43" s="141">
        <v>0.82799999999999996</v>
      </c>
      <c r="F43" s="141">
        <v>0.85399999999999998</v>
      </c>
      <c r="G43" s="320"/>
      <c r="H43" s="320"/>
      <c r="I43" s="320"/>
      <c r="J43" s="320"/>
      <c r="K43" s="321"/>
      <c r="L43" s="335"/>
      <c r="M43" s="8"/>
      <c r="U43" s="9"/>
      <c r="V43" s="9"/>
      <c r="W43" s="9"/>
      <c r="X43" s="9"/>
      <c r="Y43" s="9"/>
      <c r="Z43" s="9"/>
      <c r="AA43" s="8"/>
      <c r="AB43" s="9"/>
    </row>
    <row r="44" spans="1:28" x14ac:dyDescent="0.25">
      <c r="A44" s="123"/>
      <c r="B44" s="320"/>
      <c r="C44" s="356" t="s">
        <v>38</v>
      </c>
      <c r="D44" s="147" t="s">
        <v>24</v>
      </c>
      <c r="E44" s="140">
        <v>0.82299999999999995</v>
      </c>
      <c r="F44" s="140">
        <v>0.85799999999999998</v>
      </c>
      <c r="G44" s="320"/>
      <c r="H44" s="320"/>
      <c r="I44" s="320"/>
      <c r="J44" s="320"/>
      <c r="K44" s="320"/>
      <c r="L44" s="335"/>
      <c r="M44" s="8"/>
      <c r="U44" s="9"/>
      <c r="V44" s="9"/>
      <c r="W44" s="9"/>
      <c r="X44" s="9"/>
      <c r="Y44" s="9"/>
      <c r="Z44" s="9"/>
      <c r="AA44" s="8"/>
      <c r="AB44" s="9"/>
    </row>
    <row r="45" spans="1:28" x14ac:dyDescent="0.25">
      <c r="A45" s="123"/>
      <c r="B45" s="320"/>
      <c r="C45" s="357"/>
      <c r="D45" s="132" t="s">
        <v>21</v>
      </c>
      <c r="E45" s="141">
        <v>0.77700000000000002</v>
      </c>
      <c r="F45" s="234">
        <v>0.81</v>
      </c>
      <c r="G45" s="320"/>
      <c r="H45" s="320"/>
      <c r="I45" s="320"/>
      <c r="J45" s="320"/>
      <c r="K45" s="320"/>
      <c r="L45" s="335"/>
      <c r="M45" s="8"/>
      <c r="U45" s="9"/>
      <c r="V45" s="9"/>
      <c r="W45" s="9"/>
      <c r="X45" s="9"/>
      <c r="Y45" s="9"/>
      <c r="Z45" s="9"/>
      <c r="AA45" s="8"/>
      <c r="AB45" s="9"/>
    </row>
    <row r="46" spans="1:28" ht="15.75" thickBot="1" x14ac:dyDescent="0.3">
      <c r="A46" s="165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358"/>
      <c r="M46" s="8"/>
      <c r="U46" s="9"/>
      <c r="V46" s="9"/>
      <c r="W46" s="9"/>
      <c r="X46" s="9"/>
      <c r="Y46" s="9"/>
      <c r="Z46" s="9"/>
      <c r="AA46" s="8"/>
      <c r="AB46" s="9"/>
    </row>
    <row r="47" spans="1:28" x14ac:dyDescent="0.25">
      <c r="L47" s="8"/>
      <c r="M47" s="8"/>
      <c r="U47" s="9"/>
      <c r="V47" s="9"/>
      <c r="W47" s="9"/>
      <c r="X47" s="9"/>
      <c r="Y47" s="9"/>
      <c r="Z47" s="9"/>
      <c r="AA47" s="8"/>
      <c r="AB47" s="9"/>
    </row>
    <row r="48" spans="1:28" x14ac:dyDescent="0.25">
      <c r="L48" s="8"/>
      <c r="M48" s="8"/>
      <c r="U48" s="9"/>
      <c r="V48" s="9"/>
      <c r="W48" s="9"/>
      <c r="X48" s="9"/>
      <c r="Y48" s="9"/>
      <c r="Z48" s="9"/>
      <c r="AA48" s="8"/>
      <c r="AB48" s="9"/>
    </row>
    <row r="49" spans="12:28" x14ac:dyDescent="0.25">
      <c r="L49" s="8"/>
      <c r="M49" s="8"/>
      <c r="U49" s="9"/>
      <c r="V49" s="9"/>
      <c r="W49" s="9"/>
      <c r="X49" s="9"/>
      <c r="Y49" s="9"/>
      <c r="Z49" s="9"/>
      <c r="AA49" s="8"/>
      <c r="AB49" s="9"/>
    </row>
    <row r="50" spans="12:28" x14ac:dyDescent="0.25">
      <c r="L50" s="8"/>
      <c r="M50" s="8"/>
      <c r="AA50" s="8"/>
    </row>
    <row r="51" spans="12:28" x14ac:dyDescent="0.25">
      <c r="L51" s="8"/>
      <c r="M51" s="8"/>
      <c r="AA51" s="8"/>
    </row>
    <row r="52" spans="12:28" x14ac:dyDescent="0.25">
      <c r="L52" s="8"/>
      <c r="M52" s="8"/>
      <c r="AA52" s="8"/>
    </row>
    <row r="53" spans="12:28" x14ac:dyDescent="0.25">
      <c r="L53" s="8"/>
      <c r="M53" s="8"/>
      <c r="AA53" s="8"/>
    </row>
    <row r="54" spans="12:28" x14ac:dyDescent="0.25">
      <c r="L54" s="8"/>
      <c r="M54" s="8"/>
      <c r="AA54" s="8"/>
    </row>
    <row r="55" spans="12:28" x14ac:dyDescent="0.25">
      <c r="L55" s="8"/>
      <c r="M55" s="8"/>
      <c r="AA55" s="8"/>
    </row>
    <row r="56" spans="12:28" x14ac:dyDescent="0.25">
      <c r="L56" s="8"/>
      <c r="M56" s="8"/>
      <c r="AA56" s="8"/>
    </row>
    <row r="57" spans="12:28" x14ac:dyDescent="0.25">
      <c r="L57" s="8"/>
      <c r="M57" s="8"/>
      <c r="AA57" s="8"/>
    </row>
  </sheetData>
  <sheetProtection formatCells="0" formatColumns="0" formatRows="0"/>
  <mergeCells count="4">
    <mergeCell ref="C40:C41"/>
    <mergeCell ref="C42:C43"/>
    <mergeCell ref="C44:C45"/>
    <mergeCell ref="K1:L1"/>
  </mergeCells>
  <hyperlinks>
    <hyperlink ref="K1" location="TOC!A1" display="Return to TOC" xr:uid="{5FA7B398-9405-4C4D-BFE1-66CB4F7AD95B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E758-F67E-4DAE-B66D-18A362976103}">
  <sheetPr codeName="Sheet88"/>
  <dimension ref="A1:AD57"/>
  <sheetViews>
    <sheetView zoomScaleNormal="100" workbookViewId="0"/>
  </sheetViews>
  <sheetFormatPr defaultColWidth="9.140625" defaultRowHeight="15" x14ac:dyDescent="0.25"/>
  <cols>
    <col min="1" max="1" width="10.7109375" style="7" customWidth="1"/>
    <col min="2" max="2" width="4.7109375" style="7" customWidth="1"/>
    <col min="3" max="3" width="9.42578125" style="7" customWidth="1"/>
    <col min="4" max="6" width="15.7109375" style="7" customWidth="1"/>
    <col min="7" max="8" width="2.7109375" style="7" customWidth="1"/>
    <col min="9" max="10" width="9.140625" style="7" customWidth="1"/>
    <col min="11" max="12" width="10.7109375" style="7" customWidth="1"/>
    <col min="13" max="13" width="11.85546875" style="7" customWidth="1"/>
    <col min="14" max="15" width="2.7109375" style="7" customWidth="1"/>
    <col min="16" max="16" width="10.7109375" style="7" customWidth="1"/>
    <col min="17" max="17" width="18.42578125" style="7" bestFit="1" customWidth="1"/>
    <col min="18" max="18" width="17.5703125" style="7" bestFit="1" customWidth="1"/>
    <col min="19" max="19" width="16.140625" style="7" bestFit="1" customWidth="1"/>
    <col min="20" max="20" width="15.140625" style="7" bestFit="1" customWidth="1"/>
    <col min="21" max="21" width="15.5703125" style="7" bestFit="1" customWidth="1"/>
    <col min="22" max="22" width="9.28515625" style="7" customWidth="1"/>
    <col min="23" max="28" width="2.7109375" style="7" customWidth="1"/>
    <col min="29" max="16384" width="9.140625" style="7"/>
  </cols>
  <sheetData>
    <row r="1" spans="1:30" x14ac:dyDescent="0.25">
      <c r="A1" s="10" t="s">
        <v>3</v>
      </c>
      <c r="B1" s="11"/>
      <c r="C1" s="11" t="s">
        <v>12</v>
      </c>
      <c r="D1" s="12"/>
      <c r="E1" s="11"/>
      <c r="F1" s="11"/>
      <c r="G1" s="11"/>
      <c r="H1" s="11"/>
      <c r="I1" s="11"/>
      <c r="J1" s="11"/>
      <c r="K1" s="11"/>
      <c r="L1" s="11"/>
      <c r="M1" s="303" t="s">
        <v>8</v>
      </c>
      <c r="N1" s="304"/>
      <c r="O1" s="20"/>
      <c r="P1" s="6" t="s">
        <v>9</v>
      </c>
      <c r="AC1" s="20"/>
    </row>
    <row r="2" spans="1:30" x14ac:dyDescent="0.25">
      <c r="A2" s="13" t="s">
        <v>4</v>
      </c>
      <c r="B2" s="14"/>
      <c r="C2" s="14" t="s">
        <v>13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75"/>
      <c r="O2" s="20"/>
      <c r="AC2" s="20"/>
    </row>
    <row r="3" spans="1:30" x14ac:dyDescent="0.25">
      <c r="A3" s="13" t="s">
        <v>5</v>
      </c>
      <c r="B3" s="14"/>
      <c r="C3" s="14" t="s">
        <v>106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75"/>
      <c r="O3" s="20"/>
      <c r="P3" s="7" t="s">
        <v>528</v>
      </c>
      <c r="AC3" s="20"/>
    </row>
    <row r="4" spans="1:30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76"/>
      <c r="O4" s="8"/>
      <c r="P4" s="7" t="str">
        <f>"The annual company premium at the policy limits bought is "&amp;TEXT(B9,"$#,###")</f>
        <v>The annual company premium at the policy limits bought is $340,000</v>
      </c>
      <c r="AC4" s="8"/>
      <c r="AD4" s="9"/>
    </row>
    <row r="5" spans="1:30" ht="15" customHeight="1" x14ac:dyDescent="0.25">
      <c r="A5" s="17" t="s">
        <v>6</v>
      </c>
      <c r="B5" s="14"/>
      <c r="C5" s="14" t="s">
        <v>524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76"/>
      <c r="O5" s="8"/>
      <c r="Z5" s="9"/>
      <c r="AA5" s="9"/>
      <c r="AB5" s="9"/>
      <c r="AC5" s="8"/>
      <c r="AD5" s="9"/>
    </row>
    <row r="6" spans="1:30" x14ac:dyDescent="0.25">
      <c r="A6" s="18"/>
      <c r="B6" s="14"/>
      <c r="C6" s="14" t="s">
        <v>529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76"/>
      <c r="O6" s="8"/>
      <c r="P6" s="89"/>
      <c r="Q6" s="90" t="s">
        <v>42</v>
      </c>
      <c r="R6" s="90" t="s">
        <v>43</v>
      </c>
      <c r="S6" s="90" t="s">
        <v>44</v>
      </c>
      <c r="T6" s="90" t="s">
        <v>45</v>
      </c>
      <c r="U6" s="90" t="s">
        <v>46</v>
      </c>
      <c r="Z6" s="9"/>
      <c r="AA6" s="9"/>
      <c r="AB6" s="9"/>
      <c r="AC6" s="8"/>
      <c r="AD6" s="9"/>
    </row>
    <row r="7" spans="1:30" ht="15" customHeight="1" x14ac:dyDescent="0.25">
      <c r="A7" s="1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76"/>
      <c r="O7" s="8"/>
      <c r="P7" s="89"/>
      <c r="Q7" s="91" t="s">
        <v>107</v>
      </c>
      <c r="R7" s="91" t="s">
        <v>108</v>
      </c>
      <c r="S7" s="91"/>
      <c r="T7" s="91" t="s">
        <v>107</v>
      </c>
      <c r="U7" s="92"/>
      <c r="Z7" s="9"/>
      <c r="AA7" s="9"/>
      <c r="AB7" s="9"/>
      <c r="AC7" s="8"/>
      <c r="AD7" s="9"/>
    </row>
    <row r="8" spans="1:30" ht="15" customHeight="1" x14ac:dyDescent="0.25">
      <c r="A8" s="17"/>
      <c r="B8" s="16"/>
      <c r="C8" s="14" t="s">
        <v>109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76"/>
      <c r="O8" s="8"/>
      <c r="P8" s="89"/>
      <c r="Q8" s="91" t="s">
        <v>110</v>
      </c>
      <c r="R8" s="91" t="s">
        <v>111</v>
      </c>
      <c r="S8" s="91" t="s">
        <v>112</v>
      </c>
      <c r="T8" s="91" t="s">
        <v>110</v>
      </c>
      <c r="U8" s="91" t="s">
        <v>113</v>
      </c>
      <c r="Z8" s="9"/>
      <c r="AA8" s="9"/>
      <c r="AB8" s="9"/>
      <c r="AC8" s="8"/>
      <c r="AD8" s="9"/>
    </row>
    <row r="9" spans="1:30" x14ac:dyDescent="0.25">
      <c r="A9" s="17"/>
      <c r="B9" s="109">
        <v>340000</v>
      </c>
      <c r="C9" s="14" t="str">
        <f>"The cost of this policy in the most recent experience year was "&amp;TEXT(B9,"$#,###")&amp;"."</f>
        <v>The cost of this policy in the most recent experience year was $340,000.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76"/>
      <c r="O9" s="8"/>
      <c r="P9" s="93" t="s">
        <v>27</v>
      </c>
      <c r="Q9" s="91" t="s">
        <v>67</v>
      </c>
      <c r="R9" s="91" t="s">
        <v>114</v>
      </c>
      <c r="S9" s="91" t="s">
        <v>115</v>
      </c>
      <c r="T9" s="91" t="s">
        <v>67</v>
      </c>
      <c r="U9" s="91" t="s">
        <v>116</v>
      </c>
      <c r="Z9" s="9"/>
      <c r="AA9" s="9"/>
      <c r="AB9" s="9"/>
      <c r="AC9" s="8"/>
      <c r="AD9" s="9"/>
    </row>
    <row r="10" spans="1:30" x14ac:dyDescent="0.25">
      <c r="A10" s="15"/>
      <c r="B10" s="1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76"/>
      <c r="O10" s="8"/>
      <c r="P10" s="94" t="s">
        <v>24</v>
      </c>
      <c r="Q10" s="359">
        <f>D15</f>
        <v>8.1999999999999993</v>
      </c>
      <c r="R10" s="29">
        <f>E22</f>
        <v>2.024</v>
      </c>
      <c r="S10" s="34">
        <f>E23</f>
        <v>4.8</v>
      </c>
      <c r="T10" s="95">
        <f>Q10*R10</f>
        <v>16.596799999999998</v>
      </c>
      <c r="U10" s="96">
        <f>Q10*S10</f>
        <v>39.359999999999992</v>
      </c>
      <c r="Z10" s="9"/>
      <c r="AA10" s="9"/>
      <c r="AB10" s="9"/>
      <c r="AC10" s="8"/>
      <c r="AD10" s="9"/>
    </row>
    <row r="11" spans="1:30" x14ac:dyDescent="0.25">
      <c r="A11" s="13" t="s">
        <v>7</v>
      </c>
      <c r="B11" s="16"/>
      <c r="C11" s="14" t="s">
        <v>117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6"/>
      <c r="O11" s="8"/>
      <c r="P11" s="97" t="s">
        <v>21</v>
      </c>
      <c r="Q11" s="39">
        <f>D16</f>
        <v>4.75</v>
      </c>
      <c r="R11" s="30">
        <f>E29</f>
        <v>2.92</v>
      </c>
      <c r="S11" s="35">
        <f>E30</f>
        <v>4.7619999999999996</v>
      </c>
      <c r="T11" s="51">
        <f>Q11*R11</f>
        <v>13.87</v>
      </c>
      <c r="U11" s="98">
        <f>Q11*S11</f>
        <v>22.619499999999999</v>
      </c>
      <c r="Z11" s="9"/>
      <c r="AA11" s="9"/>
      <c r="AB11" s="9"/>
      <c r="AC11" s="8"/>
      <c r="AD11" s="9"/>
    </row>
    <row r="12" spans="1:30" x14ac:dyDescent="0.25">
      <c r="A12" s="15"/>
      <c r="B12" s="1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76"/>
      <c r="O12" s="8"/>
      <c r="P12" s="99" t="s">
        <v>10</v>
      </c>
      <c r="Q12" s="100"/>
      <c r="R12" s="101"/>
      <c r="S12" s="101"/>
      <c r="T12" s="102">
        <f>SUM(T10:T11)</f>
        <v>30.466799999999999</v>
      </c>
      <c r="U12" s="103">
        <f>SUM(U10:U11)</f>
        <v>61.979499999999987</v>
      </c>
      <c r="Z12" s="9"/>
      <c r="AA12" s="9"/>
      <c r="AB12" s="9"/>
      <c r="AC12" s="8"/>
      <c r="AD12" s="9"/>
    </row>
    <row r="13" spans="1:30" x14ac:dyDescent="0.25">
      <c r="A13" s="15"/>
      <c r="B13" s="16"/>
      <c r="C13" s="14"/>
      <c r="D13" s="110" t="s">
        <v>118</v>
      </c>
      <c r="E13" s="111"/>
      <c r="F13" s="14"/>
      <c r="G13" s="14"/>
      <c r="H13" s="14"/>
      <c r="I13" s="112">
        <v>0.7</v>
      </c>
      <c r="J13" s="113" t="s">
        <v>119</v>
      </c>
      <c r="K13" s="113"/>
      <c r="L13" s="43"/>
      <c r="M13" s="14"/>
      <c r="N13" s="76"/>
      <c r="O13" s="8"/>
      <c r="Z13" s="9"/>
      <c r="AA13" s="9"/>
      <c r="AB13" s="9"/>
      <c r="AC13" s="8"/>
      <c r="AD13" s="9"/>
    </row>
    <row r="14" spans="1:30" x14ac:dyDescent="0.25">
      <c r="A14" s="15"/>
      <c r="B14" s="16"/>
      <c r="C14" s="114" t="s">
        <v>27</v>
      </c>
      <c r="D14" s="114">
        <v>1500</v>
      </c>
      <c r="E14" s="115">
        <v>6336</v>
      </c>
      <c r="F14" s="14"/>
      <c r="G14" s="14"/>
      <c r="H14" s="14"/>
      <c r="I14" s="14"/>
      <c r="J14" s="14"/>
      <c r="K14" s="14"/>
      <c r="L14" s="14"/>
      <c r="M14" s="14"/>
      <c r="N14" s="76"/>
      <c r="O14" s="8"/>
      <c r="Q14" s="90" t="s">
        <v>47</v>
      </c>
      <c r="R14" s="90" t="s">
        <v>48</v>
      </c>
      <c r="S14" s="90" t="s">
        <v>49</v>
      </c>
      <c r="T14" s="90" t="s">
        <v>50</v>
      </c>
      <c r="U14" s="90" t="s">
        <v>51</v>
      </c>
      <c r="Z14" s="9"/>
      <c r="AA14" s="9"/>
      <c r="AB14" s="9"/>
      <c r="AC14" s="8"/>
      <c r="AD14" s="9"/>
    </row>
    <row r="15" spans="1:30" x14ac:dyDescent="0.25">
      <c r="A15" s="18"/>
      <c r="B15" s="14"/>
      <c r="C15" s="21" t="s">
        <v>24</v>
      </c>
      <c r="D15" s="37">
        <v>8.1999999999999993</v>
      </c>
      <c r="E15" s="45">
        <v>1.35</v>
      </c>
      <c r="F15" s="14"/>
      <c r="G15" s="14"/>
      <c r="H15" s="14"/>
      <c r="I15" s="14"/>
      <c r="J15" s="14"/>
      <c r="K15" s="14"/>
      <c r="L15" s="14"/>
      <c r="M15" s="14"/>
      <c r="N15" s="76"/>
      <c r="O15" s="8"/>
      <c r="Q15" s="92"/>
      <c r="R15" s="91"/>
      <c r="S15" s="91" t="s">
        <v>120</v>
      </c>
      <c r="T15" s="92"/>
      <c r="U15" s="91" t="s">
        <v>121</v>
      </c>
      <c r="Z15" s="9"/>
      <c r="AA15" s="9"/>
      <c r="AB15" s="9"/>
      <c r="AC15" s="8"/>
      <c r="AD15" s="9"/>
    </row>
    <row r="16" spans="1:30" x14ac:dyDescent="0.25">
      <c r="A16" s="18"/>
      <c r="B16" s="14"/>
      <c r="C16" s="22" t="s">
        <v>21</v>
      </c>
      <c r="D16" s="23">
        <v>4.75</v>
      </c>
      <c r="E16" s="23">
        <v>3.14</v>
      </c>
      <c r="F16" s="14"/>
      <c r="G16" s="14"/>
      <c r="H16" s="14"/>
      <c r="I16" s="14"/>
      <c r="J16" s="14"/>
      <c r="K16" s="14"/>
      <c r="L16" s="14"/>
      <c r="M16" s="14"/>
      <c r="N16" s="76"/>
      <c r="O16" s="8"/>
      <c r="Q16" s="91" t="s">
        <v>98</v>
      </c>
      <c r="R16" s="91" t="s">
        <v>27</v>
      </c>
      <c r="S16" s="91" t="s">
        <v>122</v>
      </c>
      <c r="T16" s="92"/>
      <c r="U16" s="91" t="s">
        <v>103</v>
      </c>
      <c r="Z16" s="9"/>
      <c r="AA16" s="9"/>
      <c r="AB16" s="9"/>
      <c r="AC16" s="8"/>
      <c r="AD16" s="9"/>
    </row>
    <row r="17" spans="1:30" x14ac:dyDescent="0.25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76"/>
      <c r="O17" s="8"/>
      <c r="P17" s="93" t="s">
        <v>27</v>
      </c>
      <c r="Q17" s="104" t="s">
        <v>123</v>
      </c>
      <c r="R17" s="104" t="s">
        <v>124</v>
      </c>
      <c r="S17" s="104" t="s">
        <v>125</v>
      </c>
      <c r="T17" s="104" t="s">
        <v>55</v>
      </c>
      <c r="U17" s="104" t="s">
        <v>126</v>
      </c>
      <c r="Z17" s="9"/>
      <c r="AA17" s="9"/>
      <c r="AB17" s="9"/>
      <c r="AC17" s="8"/>
      <c r="AD17" s="9"/>
    </row>
    <row r="18" spans="1:30" x14ac:dyDescent="0.25">
      <c r="A18" s="18"/>
      <c r="B18" s="14"/>
      <c r="C18" s="44" t="s">
        <v>74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76"/>
      <c r="O18" s="8"/>
      <c r="P18" s="94" t="s">
        <v>24</v>
      </c>
      <c r="Q18" s="105">
        <f>$B$9*$T$12/$U$12</f>
        <v>167131.26114279724</v>
      </c>
      <c r="R18" s="95">
        <f>T10/$T$12</f>
        <v>0.54475035120196402</v>
      </c>
      <c r="S18" s="60">
        <f>Q18*R18</f>
        <v>91044.813204365957</v>
      </c>
      <c r="T18" s="59">
        <f>$I$13</f>
        <v>0.7</v>
      </c>
      <c r="U18" s="106">
        <f>ROUND(S18*T18,0)</f>
        <v>63731</v>
      </c>
      <c r="Z18" s="9"/>
      <c r="AA18" s="9"/>
      <c r="AB18" s="9"/>
      <c r="AC18" s="8"/>
      <c r="AD18" s="9"/>
    </row>
    <row r="19" spans="1:30" ht="15" customHeight="1" x14ac:dyDescent="0.25">
      <c r="A19" s="18"/>
      <c r="B19" s="14"/>
      <c r="C19" s="44" t="s">
        <v>525</v>
      </c>
      <c r="D19" s="14"/>
      <c r="E19" s="14"/>
      <c r="F19" s="14"/>
      <c r="G19" s="14"/>
      <c r="H19" s="14"/>
      <c r="I19" s="44" t="s">
        <v>531</v>
      </c>
      <c r="J19" s="14"/>
      <c r="K19" s="14"/>
      <c r="L19" s="14"/>
      <c r="M19" s="14"/>
      <c r="N19" s="76"/>
      <c r="O19" s="8"/>
      <c r="P19" s="97" t="s">
        <v>21</v>
      </c>
      <c r="Q19" s="107">
        <f>$B$9*$T$12/$U$12</f>
        <v>167131.26114279724</v>
      </c>
      <c r="R19" s="51">
        <f>T11/$T$12</f>
        <v>0.45524964879803587</v>
      </c>
      <c r="S19" s="66">
        <f>Q19*R19</f>
        <v>76086.447938431258</v>
      </c>
      <c r="T19" s="65">
        <f>$I$13</f>
        <v>0.7</v>
      </c>
      <c r="U19" s="108">
        <f>ROUND(S19*T19,0)</f>
        <v>53261</v>
      </c>
      <c r="Z19" s="9"/>
      <c r="AA19" s="9"/>
      <c r="AB19" s="9"/>
      <c r="AC19" s="8"/>
      <c r="AD19" s="9"/>
    </row>
    <row r="20" spans="1:30" x14ac:dyDescent="0.25">
      <c r="A20" s="18"/>
      <c r="B20" s="14"/>
      <c r="C20" s="14"/>
      <c r="D20" s="77" t="s">
        <v>127</v>
      </c>
      <c r="E20" s="77"/>
      <c r="F20" s="77"/>
      <c r="G20" s="14"/>
      <c r="H20" s="14"/>
      <c r="I20" s="14"/>
      <c r="J20" s="14"/>
      <c r="K20" s="77" t="s">
        <v>127</v>
      </c>
      <c r="L20" s="77"/>
      <c r="M20" s="77"/>
      <c r="N20" s="76"/>
      <c r="O20" s="8"/>
      <c r="Z20" s="9"/>
      <c r="AA20" s="9"/>
      <c r="AB20" s="9"/>
      <c r="AC20" s="8"/>
      <c r="AD20" s="9"/>
    </row>
    <row r="21" spans="1:30" x14ac:dyDescent="0.25">
      <c r="A21" s="18"/>
      <c r="B21" s="14"/>
      <c r="C21" s="14"/>
      <c r="D21" s="36" t="s">
        <v>82</v>
      </c>
      <c r="E21" s="36" t="s">
        <v>128</v>
      </c>
      <c r="F21" s="36" t="s">
        <v>84</v>
      </c>
      <c r="G21" s="14"/>
      <c r="H21" s="14"/>
      <c r="I21" s="14"/>
      <c r="J21" s="14"/>
      <c r="K21" s="36" t="s">
        <v>82</v>
      </c>
      <c r="L21" s="36" t="s">
        <v>128</v>
      </c>
      <c r="M21" s="36" t="s">
        <v>84</v>
      </c>
      <c r="N21" s="76"/>
      <c r="O21" s="8"/>
      <c r="P21" s="6" t="s">
        <v>30</v>
      </c>
      <c r="Z21" s="9"/>
      <c r="AA21" s="9"/>
      <c r="AB21" s="9"/>
      <c r="AC21" s="8"/>
      <c r="AD21" s="9"/>
    </row>
    <row r="22" spans="1:30" x14ac:dyDescent="0.25">
      <c r="A22" s="18"/>
      <c r="B22" s="14"/>
      <c r="C22" s="78" t="s">
        <v>86</v>
      </c>
      <c r="D22" s="79">
        <v>1</v>
      </c>
      <c r="E22" s="80">
        <v>2.024</v>
      </c>
      <c r="F22" s="81">
        <v>5.6639999999999997</v>
      </c>
      <c r="G22" s="14"/>
      <c r="H22" s="14"/>
      <c r="I22" s="14"/>
      <c r="J22" s="78" t="s">
        <v>86</v>
      </c>
      <c r="K22" s="79">
        <v>1</v>
      </c>
      <c r="L22" s="80">
        <v>2.774</v>
      </c>
      <c r="M22" s="81">
        <v>4.2629999999999999</v>
      </c>
      <c r="N22" s="76"/>
      <c r="O22" s="8"/>
      <c r="P22" s="7" t="s">
        <v>530</v>
      </c>
      <c r="W22" s="9"/>
      <c r="X22" s="9"/>
      <c r="Y22" s="9"/>
      <c r="Z22" s="9"/>
      <c r="AA22" s="9"/>
      <c r="AB22" s="9"/>
      <c r="AC22" s="8"/>
      <c r="AD22" s="9"/>
    </row>
    <row r="23" spans="1:30" ht="15" customHeight="1" x14ac:dyDescent="0.25">
      <c r="A23" s="18"/>
      <c r="B23" s="14"/>
      <c r="C23" s="78" t="s">
        <v>88</v>
      </c>
      <c r="D23" s="82">
        <v>3.8940000000000001</v>
      </c>
      <c r="E23" s="83">
        <v>4.8</v>
      </c>
      <c r="F23" s="84">
        <v>5.9009999999999998</v>
      </c>
      <c r="G23" s="14"/>
      <c r="H23" s="14"/>
      <c r="I23" s="14"/>
      <c r="J23" s="78" t="s">
        <v>88</v>
      </c>
      <c r="K23" s="82">
        <v>2.8879999999999999</v>
      </c>
      <c r="L23" s="83">
        <v>3.5630000000000002</v>
      </c>
      <c r="M23" s="84">
        <v>5.13</v>
      </c>
      <c r="N23" s="76"/>
      <c r="O23" s="8"/>
      <c r="P23" s="7" t="s">
        <v>129</v>
      </c>
      <c r="W23" s="9"/>
      <c r="X23" s="9"/>
      <c r="Y23" s="9"/>
      <c r="Z23" s="9"/>
      <c r="AA23" s="9"/>
      <c r="AB23" s="9"/>
      <c r="AC23" s="8"/>
      <c r="AD23" s="9"/>
    </row>
    <row r="24" spans="1:30" ht="15" customHeight="1" x14ac:dyDescent="0.25">
      <c r="A24" s="18"/>
      <c r="B24" s="14"/>
      <c r="C24" s="78" t="s">
        <v>128</v>
      </c>
      <c r="D24" s="85">
        <v>3.9750000000000001</v>
      </c>
      <c r="E24" s="86">
        <v>5.2640000000000002</v>
      </c>
      <c r="F24" s="87">
        <v>5.9530000000000003</v>
      </c>
      <c r="G24" s="14"/>
      <c r="H24" s="14"/>
      <c r="I24" s="14"/>
      <c r="J24" s="78" t="s">
        <v>128</v>
      </c>
      <c r="K24" s="85">
        <v>4.992</v>
      </c>
      <c r="L24" s="86">
        <v>5.7610000000000001</v>
      </c>
      <c r="M24" s="87">
        <v>6.1539999999999999</v>
      </c>
      <c r="N24" s="76"/>
      <c r="O24" s="8"/>
      <c r="W24" s="9"/>
      <c r="X24" s="9"/>
      <c r="Y24" s="9"/>
      <c r="Z24" s="9"/>
      <c r="AA24" s="9"/>
      <c r="AB24" s="9"/>
      <c r="AC24" s="8"/>
      <c r="AD24" s="9"/>
    </row>
    <row r="25" spans="1:30" ht="15" customHeight="1" x14ac:dyDescent="0.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76"/>
      <c r="O25" s="8"/>
      <c r="P25" s="7" t="s">
        <v>130</v>
      </c>
      <c r="W25" s="9"/>
      <c r="X25" s="9"/>
      <c r="Y25" s="9"/>
      <c r="Z25" s="9"/>
      <c r="AA25" s="9"/>
      <c r="AB25" s="9"/>
      <c r="AC25" s="8"/>
      <c r="AD25" s="9"/>
    </row>
    <row r="26" spans="1:30" ht="15" customHeight="1" x14ac:dyDescent="0.25">
      <c r="A26" s="18"/>
      <c r="B26" s="14"/>
      <c r="C26" s="44" t="s">
        <v>526</v>
      </c>
      <c r="D26" s="14"/>
      <c r="E26" s="14"/>
      <c r="F26" s="14"/>
      <c r="G26" s="14"/>
      <c r="H26" s="14"/>
      <c r="I26" s="44" t="s">
        <v>527</v>
      </c>
      <c r="J26" s="14"/>
      <c r="K26" s="14"/>
      <c r="L26" s="14"/>
      <c r="M26" s="14"/>
      <c r="N26" s="76"/>
      <c r="O26" s="8"/>
      <c r="P26" s="7" t="s">
        <v>131</v>
      </c>
      <c r="W26" s="9"/>
      <c r="X26" s="9"/>
      <c r="Y26" s="9"/>
      <c r="Z26" s="9"/>
      <c r="AA26" s="9"/>
      <c r="AB26" s="9"/>
      <c r="AC26" s="8"/>
      <c r="AD26" s="9"/>
    </row>
    <row r="27" spans="1:30" ht="15" customHeight="1" x14ac:dyDescent="0.25">
      <c r="A27" s="18"/>
      <c r="B27" s="14"/>
      <c r="C27" s="14"/>
      <c r="D27" s="77" t="s">
        <v>127</v>
      </c>
      <c r="E27" s="77"/>
      <c r="F27" s="77"/>
      <c r="G27" s="14"/>
      <c r="H27" s="14"/>
      <c r="I27" s="14"/>
      <c r="J27" s="14"/>
      <c r="K27" s="77" t="s">
        <v>127</v>
      </c>
      <c r="L27" s="77"/>
      <c r="M27" s="77"/>
      <c r="N27" s="76"/>
      <c r="O27" s="8"/>
      <c r="P27" s="7" t="s">
        <v>132</v>
      </c>
      <c r="W27" s="9"/>
      <c r="X27" s="9"/>
      <c r="Y27" s="9"/>
      <c r="Z27" s="9"/>
      <c r="AA27" s="9"/>
      <c r="AB27" s="9"/>
      <c r="AC27" s="8"/>
      <c r="AD27" s="9"/>
    </row>
    <row r="28" spans="1:30" ht="15" customHeight="1" x14ac:dyDescent="0.25">
      <c r="A28" s="18"/>
      <c r="B28" s="14"/>
      <c r="C28" s="14"/>
      <c r="D28" s="36" t="s">
        <v>82</v>
      </c>
      <c r="E28" s="36" t="s">
        <v>128</v>
      </c>
      <c r="F28" s="36" t="s">
        <v>84</v>
      </c>
      <c r="G28" s="14"/>
      <c r="H28" s="14"/>
      <c r="I28" s="14"/>
      <c r="J28" s="14"/>
      <c r="K28" s="36" t="s">
        <v>82</v>
      </c>
      <c r="L28" s="36" t="s">
        <v>128</v>
      </c>
      <c r="M28" s="36" t="s">
        <v>84</v>
      </c>
      <c r="N28" s="76"/>
      <c r="O28" s="8"/>
      <c r="P28" s="7" t="s">
        <v>133</v>
      </c>
      <c r="W28" s="9"/>
      <c r="X28" s="9"/>
      <c r="Y28" s="9"/>
      <c r="Z28" s="9"/>
      <c r="AA28" s="9"/>
      <c r="AB28" s="9"/>
      <c r="AC28" s="8"/>
      <c r="AD28" s="9"/>
    </row>
    <row r="29" spans="1:30" x14ac:dyDescent="0.25">
      <c r="A29" s="18"/>
      <c r="B29" s="14"/>
      <c r="C29" s="78" t="s">
        <v>86</v>
      </c>
      <c r="D29" s="79">
        <v>1</v>
      </c>
      <c r="E29" s="80">
        <v>2.92</v>
      </c>
      <c r="F29" s="81">
        <v>3.605</v>
      </c>
      <c r="G29" s="14"/>
      <c r="H29" s="14"/>
      <c r="I29" s="14"/>
      <c r="J29" s="78" t="s">
        <v>86</v>
      </c>
      <c r="K29" s="79">
        <v>1</v>
      </c>
      <c r="L29" s="80">
        <v>1.3160000000000001</v>
      </c>
      <c r="M29" s="81">
        <v>4.6630000000000003</v>
      </c>
      <c r="N29" s="76"/>
      <c r="O29" s="8"/>
      <c r="P29" s="7" t="s">
        <v>134</v>
      </c>
      <c r="W29" s="9"/>
      <c r="X29" s="9"/>
      <c r="Y29" s="9"/>
      <c r="Z29" s="9"/>
      <c r="AA29" s="9"/>
      <c r="AB29" s="9"/>
      <c r="AC29" s="8"/>
      <c r="AD29" s="9"/>
    </row>
    <row r="30" spans="1:30" x14ac:dyDescent="0.25">
      <c r="A30" s="18"/>
      <c r="B30" s="14"/>
      <c r="C30" s="78" t="s">
        <v>88</v>
      </c>
      <c r="D30" s="82">
        <v>3.61</v>
      </c>
      <c r="E30" s="83">
        <v>4.7619999999999996</v>
      </c>
      <c r="F30" s="84">
        <v>5.407</v>
      </c>
      <c r="G30" s="14"/>
      <c r="H30" s="14"/>
      <c r="I30" s="14"/>
      <c r="J30" s="78" t="s">
        <v>88</v>
      </c>
      <c r="K30" s="82">
        <v>2.3159999999999998</v>
      </c>
      <c r="L30" s="83">
        <v>3.91</v>
      </c>
      <c r="M30" s="84">
        <v>5.7629999999999999</v>
      </c>
      <c r="N30" s="76"/>
      <c r="O30" s="8"/>
      <c r="P30" s="26" t="s">
        <v>135</v>
      </c>
      <c r="W30" s="9"/>
      <c r="X30" s="9"/>
      <c r="Y30" s="9"/>
      <c r="Z30" s="9"/>
      <c r="AA30" s="9"/>
      <c r="AB30" s="9"/>
      <c r="AC30" s="8"/>
      <c r="AD30" s="9"/>
    </row>
    <row r="31" spans="1:30" x14ac:dyDescent="0.25">
      <c r="A31" s="18"/>
      <c r="B31" s="14"/>
      <c r="C31" s="78" t="s">
        <v>128</v>
      </c>
      <c r="D31" s="85">
        <v>4.7229999999999999</v>
      </c>
      <c r="E31" s="86">
        <v>5.8879999999999999</v>
      </c>
      <c r="F31" s="87">
        <v>5.923</v>
      </c>
      <c r="G31" s="14"/>
      <c r="H31" s="14"/>
      <c r="I31" s="14"/>
      <c r="J31" s="78" t="s">
        <v>128</v>
      </c>
      <c r="K31" s="85">
        <v>3.4689999999999999</v>
      </c>
      <c r="L31" s="86">
        <v>4.7640000000000002</v>
      </c>
      <c r="M31" s="87">
        <v>6.5090000000000003</v>
      </c>
      <c r="N31" s="76"/>
      <c r="O31" s="8"/>
      <c r="P31" s="7" t="s">
        <v>136</v>
      </c>
      <c r="W31" s="9"/>
      <c r="X31" s="9"/>
      <c r="Y31" s="9"/>
      <c r="Z31" s="9"/>
      <c r="AA31" s="9"/>
      <c r="AB31" s="9"/>
      <c r="AC31" s="8"/>
      <c r="AD31" s="9"/>
    </row>
    <row r="32" spans="1:30" ht="15.75" thickBot="1" x14ac:dyDescent="0.3">
      <c r="A32" s="2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88"/>
      <c r="O32" s="8"/>
      <c r="P32" s="7" t="s">
        <v>137</v>
      </c>
      <c r="W32" s="9"/>
      <c r="X32" s="9"/>
      <c r="Y32" s="9"/>
      <c r="Z32" s="9"/>
      <c r="AA32" s="9"/>
      <c r="AB32" s="9"/>
      <c r="AC32" s="8"/>
      <c r="AD32" s="9"/>
    </row>
    <row r="33" spans="1:30" x14ac:dyDescent="0.25">
      <c r="N33" s="8"/>
      <c r="O33" s="8"/>
      <c r="P33" s="7" t="s">
        <v>138</v>
      </c>
      <c r="W33" s="9"/>
      <c r="X33" s="9"/>
      <c r="Y33" s="9"/>
      <c r="Z33" s="9"/>
      <c r="AA33" s="9"/>
      <c r="AB33" s="9"/>
      <c r="AC33" s="8"/>
      <c r="AD33" s="9"/>
    </row>
    <row r="34" spans="1:30" x14ac:dyDescent="0.25">
      <c r="N34" s="8"/>
      <c r="O34" s="8"/>
      <c r="P34" s="7" t="s">
        <v>139</v>
      </c>
      <c r="W34" s="9"/>
      <c r="X34" s="9"/>
      <c r="Y34" s="9"/>
      <c r="Z34" s="9"/>
      <c r="AA34" s="9"/>
      <c r="AB34" s="9"/>
      <c r="AC34" s="8"/>
      <c r="AD34" s="9"/>
    </row>
    <row r="35" spans="1:30" x14ac:dyDescent="0.25">
      <c r="N35" s="8"/>
      <c r="O35" s="8"/>
      <c r="W35" s="9"/>
      <c r="X35" s="9"/>
      <c r="Y35" s="9"/>
      <c r="Z35" s="9"/>
      <c r="AA35" s="9"/>
      <c r="AB35" s="9"/>
      <c r="AC35" s="8"/>
      <c r="AD35" s="9"/>
    </row>
    <row r="36" spans="1:30" x14ac:dyDescent="0.25">
      <c r="N36" s="8"/>
      <c r="O36" s="8"/>
      <c r="P36" s="7" t="s">
        <v>140</v>
      </c>
      <c r="W36" s="9"/>
      <c r="X36" s="9"/>
      <c r="Y36" s="9"/>
      <c r="Z36" s="9"/>
      <c r="AA36" s="9"/>
      <c r="AB36" s="9"/>
      <c r="AC36" s="8"/>
      <c r="AD36" s="9"/>
    </row>
    <row r="37" spans="1:30" x14ac:dyDescent="0.25">
      <c r="N37" s="8"/>
      <c r="O37" s="8"/>
      <c r="P37" s="7" t="s">
        <v>141</v>
      </c>
      <c r="W37" s="9"/>
      <c r="X37" s="9"/>
      <c r="Y37" s="9"/>
      <c r="Z37" s="9"/>
      <c r="AA37" s="9"/>
      <c r="AB37" s="9"/>
      <c r="AC37" s="8"/>
      <c r="AD37" s="9"/>
    </row>
    <row r="38" spans="1:30" x14ac:dyDescent="0.25">
      <c r="N38" s="8"/>
      <c r="O38" s="8"/>
      <c r="W38" s="9"/>
      <c r="X38" s="9"/>
      <c r="Y38" s="9"/>
      <c r="Z38" s="9"/>
      <c r="AA38" s="9"/>
      <c r="AB38" s="9"/>
      <c r="AC38" s="8"/>
      <c r="AD38" s="9"/>
    </row>
    <row r="39" spans="1:30" x14ac:dyDescent="0.25">
      <c r="A39" s="9"/>
      <c r="B39" s="9"/>
      <c r="N39" s="8"/>
      <c r="O39" s="8"/>
      <c r="W39" s="9"/>
      <c r="X39" s="9"/>
      <c r="Y39" s="9"/>
      <c r="Z39" s="9"/>
      <c r="AA39" s="9"/>
      <c r="AB39" s="9"/>
      <c r="AC39" s="8"/>
      <c r="AD39" s="9"/>
    </row>
    <row r="40" spans="1:30" x14ac:dyDescent="0.25">
      <c r="N40" s="8"/>
      <c r="O40" s="8"/>
      <c r="W40" s="9"/>
      <c r="X40" s="9"/>
      <c r="Y40" s="9"/>
      <c r="Z40" s="9"/>
      <c r="AA40" s="9"/>
      <c r="AB40" s="9"/>
      <c r="AC40" s="8"/>
      <c r="AD40" s="9"/>
    </row>
    <row r="41" spans="1:30" x14ac:dyDescent="0.25">
      <c r="N41" s="8"/>
      <c r="O41" s="8"/>
      <c r="W41" s="9"/>
      <c r="X41" s="9"/>
      <c r="Y41" s="9"/>
      <c r="Z41" s="9"/>
      <c r="AA41" s="9"/>
      <c r="AB41" s="9"/>
      <c r="AC41" s="8"/>
      <c r="AD41" s="9"/>
    </row>
    <row r="42" spans="1:30" x14ac:dyDescent="0.25">
      <c r="N42" s="8"/>
      <c r="O42" s="8"/>
      <c r="W42" s="9"/>
      <c r="X42" s="9"/>
      <c r="Y42" s="9"/>
      <c r="Z42" s="9"/>
      <c r="AA42" s="9"/>
      <c r="AB42" s="9"/>
      <c r="AC42" s="8"/>
      <c r="AD42" s="9"/>
    </row>
    <row r="43" spans="1:30" x14ac:dyDescent="0.25">
      <c r="N43" s="8"/>
      <c r="O43" s="8"/>
      <c r="W43" s="9"/>
      <c r="X43" s="9"/>
      <c r="Y43" s="9"/>
      <c r="Z43" s="9"/>
      <c r="AA43" s="9"/>
      <c r="AB43" s="9"/>
      <c r="AC43" s="8"/>
      <c r="AD43" s="9"/>
    </row>
    <row r="44" spans="1:30" x14ac:dyDescent="0.25">
      <c r="N44" s="8"/>
      <c r="O44" s="8"/>
      <c r="W44" s="9"/>
      <c r="X44" s="9"/>
      <c r="Y44" s="9"/>
      <c r="Z44" s="9"/>
      <c r="AA44" s="9"/>
      <c r="AB44" s="9"/>
      <c r="AC44" s="8"/>
      <c r="AD44" s="9"/>
    </row>
    <row r="45" spans="1:30" x14ac:dyDescent="0.25">
      <c r="N45" s="8"/>
      <c r="O45" s="8"/>
      <c r="W45" s="9"/>
      <c r="X45" s="9"/>
      <c r="Y45" s="9"/>
      <c r="Z45" s="9"/>
      <c r="AA45" s="9"/>
      <c r="AB45" s="9"/>
      <c r="AC45" s="8"/>
      <c r="AD45" s="9"/>
    </row>
    <row r="46" spans="1:30" x14ac:dyDescent="0.25">
      <c r="N46" s="8"/>
      <c r="O46" s="8"/>
      <c r="W46" s="9"/>
      <c r="X46" s="9"/>
      <c r="Y46" s="9"/>
      <c r="Z46" s="9"/>
      <c r="AA46" s="9"/>
      <c r="AB46" s="9"/>
      <c r="AC46" s="8"/>
      <c r="AD46" s="9"/>
    </row>
    <row r="47" spans="1:30" x14ac:dyDescent="0.25">
      <c r="N47" s="8"/>
      <c r="O47" s="8"/>
      <c r="W47" s="9"/>
      <c r="X47" s="9"/>
      <c r="Y47" s="9"/>
      <c r="Z47" s="9"/>
      <c r="AA47" s="9"/>
      <c r="AB47" s="9"/>
      <c r="AC47" s="8"/>
      <c r="AD47" s="9"/>
    </row>
    <row r="48" spans="1:30" x14ac:dyDescent="0.25">
      <c r="N48" s="8"/>
      <c r="O48" s="8"/>
      <c r="W48" s="9"/>
      <c r="X48" s="9"/>
      <c r="Y48" s="9"/>
      <c r="Z48" s="9"/>
      <c r="AA48" s="9"/>
      <c r="AB48" s="9"/>
      <c r="AC48" s="8"/>
      <c r="AD48" s="9"/>
    </row>
    <row r="49" spans="14:30" x14ac:dyDescent="0.25">
      <c r="N49" s="8"/>
      <c r="O49" s="8"/>
      <c r="W49" s="9"/>
      <c r="X49" s="9"/>
      <c r="Y49" s="9"/>
      <c r="Z49" s="9"/>
      <c r="AA49" s="9"/>
      <c r="AB49" s="9"/>
      <c r="AC49" s="8"/>
      <c r="AD49" s="9"/>
    </row>
    <row r="50" spans="14:30" x14ac:dyDescent="0.25">
      <c r="N50" s="8"/>
      <c r="O50" s="8"/>
      <c r="AC50" s="8"/>
    </row>
    <row r="51" spans="14:30" x14ac:dyDescent="0.25">
      <c r="N51" s="8"/>
      <c r="O51" s="8"/>
      <c r="AC51" s="8"/>
    </row>
    <row r="52" spans="14:30" x14ac:dyDescent="0.25">
      <c r="N52" s="8"/>
      <c r="O52" s="8"/>
      <c r="AC52" s="8"/>
    </row>
    <row r="53" spans="14:30" x14ac:dyDescent="0.25">
      <c r="N53" s="8"/>
      <c r="O53" s="8"/>
      <c r="AC53" s="8"/>
    </row>
    <row r="54" spans="14:30" x14ac:dyDescent="0.25">
      <c r="N54" s="8"/>
      <c r="O54" s="8"/>
      <c r="AC54" s="8"/>
    </row>
    <row r="55" spans="14:30" x14ac:dyDescent="0.25">
      <c r="N55" s="8"/>
      <c r="O55" s="8"/>
      <c r="AC55" s="8"/>
    </row>
    <row r="56" spans="14:30" x14ac:dyDescent="0.25">
      <c r="N56" s="8"/>
      <c r="O56" s="8"/>
      <c r="AC56" s="8"/>
    </row>
    <row r="57" spans="14:30" x14ac:dyDescent="0.25">
      <c r="N57" s="8"/>
      <c r="O57" s="8"/>
      <c r="AC57" s="8"/>
    </row>
  </sheetData>
  <sheetProtection formatCells="0" formatColumns="0" formatRows="0"/>
  <mergeCells count="1">
    <mergeCell ref="M1:N1"/>
  </mergeCells>
  <hyperlinks>
    <hyperlink ref="M1" location="TOC!A1" display="Return to TOC" xr:uid="{DD1262A7-07E6-4B6E-9ACC-2242FB617B6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TOC</vt:lpstr>
      <vt:lpstr>ISO_Rating1</vt:lpstr>
      <vt:lpstr>ISO_Rating2</vt:lpstr>
      <vt:lpstr>ISO_Rating3</vt:lpstr>
      <vt:lpstr>ISO_Rating4</vt:lpstr>
      <vt:lpstr>ISO_Rating5</vt:lpstr>
      <vt:lpstr>ISO_Rating6</vt:lpstr>
      <vt:lpstr>ISO_Rating7</vt:lpstr>
      <vt:lpstr>ISO_Rating8</vt:lpstr>
      <vt:lpstr>ISO_Rating9</vt:lpstr>
      <vt:lpstr>ISO_Rating10</vt:lpstr>
      <vt:lpstr>ISO_Rating11</vt:lpstr>
      <vt:lpstr>ISO_Rating12</vt:lpstr>
      <vt:lpstr>ISO_Rating13</vt:lpstr>
      <vt:lpstr>ISO_Rating14</vt:lpstr>
      <vt:lpstr>ISO_Rating15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Constable</cp:lastModifiedBy>
  <dcterms:created xsi:type="dcterms:W3CDTF">2021-03-10T11:20:16Z</dcterms:created>
  <dcterms:modified xsi:type="dcterms:W3CDTF">2024-05-28T11:13:56Z</dcterms:modified>
</cp:coreProperties>
</file>